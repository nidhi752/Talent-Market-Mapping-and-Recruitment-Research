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MEN\Downloads\"/>
    </mc:Choice>
  </mc:AlternateContent>
  <xr:revisionPtr revIDLastSave="0" documentId="13_ncr:1_{05146696-5C0F-4532-9B06-CDFCDEF9F71B}" xr6:coauthVersionLast="47" xr6:coauthVersionMax="47" xr10:uidLastSave="{00000000-0000-0000-0000-000000000000}"/>
  <bookViews>
    <workbookView xWindow="-108" yWindow="-108" windowWidth="23256" windowHeight="12456" tabRatio="500" activeTab="4" xr2:uid="{00000000-000D-0000-FFFF-FFFF00000000}"/>
  </bookViews>
  <sheets>
    <sheet name="README" sheetId="1" r:id="rId1"/>
    <sheet name="Companies" sheetId="2" r:id="rId2"/>
    <sheet name="Roles &amp; Skills" sheetId="3" r:id="rId3"/>
    <sheet name="Job Order" sheetId="4" r:id="rId4"/>
    <sheet name="Sourcing Strategy" sheetId="5" r:id="rId5"/>
    <sheet name="Insights" sheetId="6" r:id="rId6"/>
    <sheet name="Client Prospects" sheetId="7" r:id="rId7"/>
    <sheet name="Assumptions" sheetId="8" r:id="rId8"/>
    <sheet name="Market Report" sheetId="9" r:id="rId9"/>
    <sheet name="Sources" sheetId="10" r:id="rId10"/>
    <sheet name="Resume Bullets" sheetId="11" r:id="rId11"/>
  </sheets>
  <definedNames>
    <definedName name="_xlnm._FilterDatabase" localSheetId="1" hidden="1">Companies!$A$1:$R$45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 i="11" l="1"/>
  <c r="A20" i="9"/>
  <c r="A3" i="9"/>
  <c r="B8" i="8"/>
  <c r="B37" i="6"/>
  <c r="C37" i="6" s="1"/>
  <c r="A37" i="6"/>
  <c r="B36" i="6"/>
  <c r="C36" i="6" s="1"/>
  <c r="A36" i="6"/>
  <c r="B35" i="6"/>
  <c r="C35" i="6" s="1"/>
  <c r="A35" i="6"/>
  <c r="B34" i="6"/>
  <c r="C34" i="6" s="1"/>
  <c r="A34" i="6"/>
  <c r="B33" i="6"/>
  <c r="A33" i="6"/>
  <c r="B32" i="6"/>
  <c r="C32" i="6" s="1"/>
  <c r="A32" i="6"/>
  <c r="B31" i="6"/>
  <c r="C31" i="6" s="1"/>
  <c r="A31" i="6"/>
  <c r="B27" i="6"/>
  <c r="C27" i="6" s="1"/>
  <c r="B26" i="6"/>
  <c r="C26" i="6" s="1"/>
  <c r="B25" i="6"/>
  <c r="C25" i="6" s="1"/>
  <c r="B21" i="6"/>
  <c r="C21" i="6" s="1"/>
  <c r="B20" i="6"/>
  <c r="C20" i="6" s="1"/>
  <c r="B19" i="6"/>
  <c r="C19" i="6" s="1"/>
  <c r="B18" i="6"/>
  <c r="C18" i="6" s="1"/>
  <c r="B17" i="6"/>
  <c r="C17" i="6" s="1"/>
  <c r="B16" i="6"/>
  <c r="D11" i="6"/>
  <c r="B11" i="6"/>
  <c r="D10" i="6"/>
  <c r="B10" i="6"/>
  <c r="D9" i="6"/>
  <c r="B9" i="6"/>
  <c r="D8" i="6"/>
  <c r="B8" i="6"/>
  <c r="D7" i="6"/>
  <c r="B7" i="6"/>
  <c r="D6" i="6"/>
  <c r="B6" i="6"/>
  <c r="D5" i="6"/>
  <c r="B5" i="6"/>
  <c r="B12" i="6" s="1"/>
  <c r="B36" i="5"/>
  <c r="B38" i="5" s="1"/>
  <c r="B40" i="5" s="1"/>
  <c r="B42" i="5" s="1"/>
  <c r="B43" i="5" s="1"/>
  <c r="H30" i="4"/>
  <c r="H31" i="4" s="1"/>
  <c r="G30" i="4"/>
  <c r="G31" i="4" s="1"/>
  <c r="F30" i="4"/>
  <c r="F31" i="4" s="1"/>
  <c r="H29" i="4"/>
  <c r="G29" i="4"/>
  <c r="F29" i="4"/>
  <c r="I10" i="3"/>
  <c r="H10" i="3"/>
  <c r="G10" i="3"/>
  <c r="I9" i="3"/>
  <c r="H9" i="3"/>
  <c r="G9" i="3"/>
  <c r="I8" i="3"/>
  <c r="H8" i="3"/>
  <c r="G8" i="3"/>
  <c r="I7" i="3"/>
  <c r="H7" i="3"/>
  <c r="G7" i="3"/>
  <c r="I6" i="3"/>
  <c r="H6" i="3"/>
  <c r="G6" i="3"/>
  <c r="I5" i="3"/>
  <c r="H5" i="3"/>
  <c r="G5" i="3"/>
  <c r="I4" i="3"/>
  <c r="H4" i="3"/>
  <c r="G4" i="3"/>
  <c r="O45" i="2"/>
  <c r="N45" i="2"/>
  <c r="P45" i="2" s="1"/>
  <c r="O44" i="2"/>
  <c r="N44" i="2"/>
  <c r="P44" i="2" s="1"/>
  <c r="Q44" i="2" s="1"/>
  <c r="O43" i="2"/>
  <c r="N43" i="2"/>
  <c r="P43" i="2" s="1"/>
  <c r="Q43" i="2" s="1"/>
  <c r="O42" i="2"/>
  <c r="N42" i="2"/>
  <c r="P42" i="2" s="1"/>
  <c r="Q42" i="2" s="1"/>
  <c r="P41" i="2"/>
  <c r="Q41" i="2" s="1"/>
  <c r="O41" i="2"/>
  <c r="N41" i="2"/>
  <c r="O40" i="2"/>
  <c r="N40" i="2"/>
  <c r="P40" i="2" s="1"/>
  <c r="Q40" i="2" s="1"/>
  <c r="O39" i="2"/>
  <c r="N39" i="2"/>
  <c r="P39" i="2" s="1"/>
  <c r="Q39" i="2" s="1"/>
  <c r="O38" i="2"/>
  <c r="N38" i="2"/>
  <c r="P38" i="2" s="1"/>
  <c r="Q38" i="2" s="1"/>
  <c r="O37" i="2"/>
  <c r="N37" i="2"/>
  <c r="P37" i="2" s="1"/>
  <c r="Q37" i="2" s="1"/>
  <c r="O36" i="2"/>
  <c r="N36" i="2"/>
  <c r="P36" i="2" s="1"/>
  <c r="O35" i="2"/>
  <c r="N35" i="2"/>
  <c r="P35" i="2" s="1"/>
  <c r="Q35" i="2" s="1"/>
  <c r="O34" i="2"/>
  <c r="N34" i="2"/>
  <c r="P34" i="2" s="1"/>
  <c r="Q34" i="2" s="1"/>
  <c r="O33" i="2"/>
  <c r="N33" i="2"/>
  <c r="P33" i="2" s="1"/>
  <c r="Q33" i="2" s="1"/>
  <c r="O32" i="2"/>
  <c r="N32" i="2"/>
  <c r="P32" i="2" s="1"/>
  <c r="O31" i="2"/>
  <c r="N31" i="2"/>
  <c r="P31" i="2" s="1"/>
  <c r="Q31" i="2" s="1"/>
  <c r="O30" i="2"/>
  <c r="P30" i="2" s="1"/>
  <c r="Q30" i="2" s="1"/>
  <c r="N30" i="2"/>
  <c r="O29" i="2"/>
  <c r="N29" i="2"/>
  <c r="P29" i="2" s="1"/>
  <c r="Q29" i="2" s="1"/>
  <c r="O28" i="2"/>
  <c r="N28" i="2"/>
  <c r="P28" i="2" s="1"/>
  <c r="Q28" i="2" s="1"/>
  <c r="O27" i="2"/>
  <c r="N27" i="2"/>
  <c r="P27" i="2" s="1"/>
  <c r="Q27" i="2" s="1"/>
  <c r="O26" i="2"/>
  <c r="N26" i="2"/>
  <c r="P26" i="2" s="1"/>
  <c r="Q26" i="2" s="1"/>
  <c r="O25" i="2"/>
  <c r="N25" i="2"/>
  <c r="P25" i="2" s="1"/>
  <c r="Q25" i="2" s="1"/>
  <c r="O24" i="2"/>
  <c r="N24" i="2"/>
  <c r="P24" i="2" s="1"/>
  <c r="Q24" i="2" s="1"/>
  <c r="O23" i="2"/>
  <c r="N23" i="2"/>
  <c r="P23" i="2" s="1"/>
  <c r="Q23" i="2" s="1"/>
  <c r="O22" i="2"/>
  <c r="N22" i="2"/>
  <c r="P22" i="2" s="1"/>
  <c r="O21" i="2"/>
  <c r="N21" i="2"/>
  <c r="P21" i="2" s="1"/>
  <c r="Q21" i="2" s="1"/>
  <c r="O20" i="2"/>
  <c r="N20" i="2"/>
  <c r="P20" i="2" s="1"/>
  <c r="Q20" i="2" s="1"/>
  <c r="O19" i="2"/>
  <c r="N19" i="2"/>
  <c r="P19" i="2" s="1"/>
  <c r="Q19" i="2" s="1"/>
  <c r="O18" i="2"/>
  <c r="N18" i="2"/>
  <c r="P18" i="2" s="1"/>
  <c r="Q18" i="2" s="1"/>
  <c r="O17" i="2"/>
  <c r="N17" i="2"/>
  <c r="P17" i="2" s="1"/>
  <c r="O16" i="2"/>
  <c r="N16" i="2"/>
  <c r="P16" i="2" s="1"/>
  <c r="Q16" i="2" s="1"/>
  <c r="O15" i="2"/>
  <c r="N15" i="2"/>
  <c r="P15" i="2" s="1"/>
  <c r="Q15" i="2" s="1"/>
  <c r="O14" i="2"/>
  <c r="N14" i="2"/>
  <c r="P14" i="2" s="1"/>
  <c r="Q14" i="2" s="1"/>
  <c r="O13" i="2"/>
  <c r="N13" i="2"/>
  <c r="P13" i="2" s="1"/>
  <c r="Q13" i="2" s="1"/>
  <c r="O12" i="2"/>
  <c r="N12" i="2"/>
  <c r="P12" i="2" s="1"/>
  <c r="Q12" i="2" s="1"/>
  <c r="O11" i="2"/>
  <c r="N11" i="2"/>
  <c r="P11" i="2" s="1"/>
  <c r="Q11" i="2" s="1"/>
  <c r="O10" i="2"/>
  <c r="N10" i="2"/>
  <c r="P10" i="2" s="1"/>
  <c r="Q10" i="2" s="1"/>
  <c r="O9" i="2"/>
  <c r="N9" i="2"/>
  <c r="P9" i="2" s="1"/>
  <c r="Q9" i="2" s="1"/>
  <c r="O8" i="2"/>
  <c r="N8" i="2"/>
  <c r="P8" i="2" s="1"/>
  <c r="O7" i="2"/>
  <c r="N7" i="2"/>
  <c r="P7" i="2" s="1"/>
  <c r="Q7" i="2" s="1"/>
  <c r="O6" i="2"/>
  <c r="N6" i="2"/>
  <c r="P6" i="2" s="1"/>
  <c r="Q6" i="2" s="1"/>
  <c r="O5" i="2"/>
  <c r="N5" i="2"/>
  <c r="P5" i="2" s="1"/>
  <c r="Q5" i="2" s="1"/>
  <c r="O4" i="2"/>
  <c r="N4" i="2"/>
  <c r="P4" i="2" s="1"/>
  <c r="Q4" i="2" s="1"/>
  <c r="O3" i="2"/>
  <c r="N3" i="2"/>
  <c r="P3" i="2" s="1"/>
  <c r="Q3" i="2" s="1"/>
  <c r="O2" i="2"/>
  <c r="N2" i="2"/>
  <c r="P2" i="2" s="1"/>
  <c r="C33" i="6" l="1"/>
  <c r="A5" i="9"/>
  <c r="A6" i="9"/>
  <c r="C16" i="6"/>
  <c r="Q45" i="2"/>
  <c r="C11" i="6"/>
  <c r="Q36" i="2"/>
  <c r="C9" i="6"/>
  <c r="Q32" i="2"/>
  <c r="C10" i="6"/>
  <c r="Q22" i="2"/>
  <c r="C7" i="6"/>
  <c r="Q17" i="2"/>
  <c r="C8" i="6"/>
  <c r="Q8" i="2"/>
  <c r="C6" i="6"/>
  <c r="Q2" i="2"/>
  <c r="C5" i="6"/>
  <c r="I13" i="7" l="1"/>
  <c r="I14" i="7"/>
  <c r="I6" i="7"/>
  <c r="I9" i="7"/>
  <c r="I5" i="7"/>
  <c r="I7" i="7"/>
  <c r="I8" i="7"/>
  <c r="I10" i="7"/>
  <c r="I11" i="7"/>
  <c r="I12" i="7"/>
  <c r="B13" i="7" l="1"/>
  <c r="C13" i="7"/>
  <c r="H13" i="7" s="1"/>
  <c r="D13" i="7"/>
  <c r="E13" i="7"/>
  <c r="F13" i="7"/>
  <c r="G13" i="7"/>
  <c r="B14" i="7"/>
  <c r="C14" i="7"/>
  <c r="H14" i="7" s="1"/>
  <c r="D14" i="7"/>
  <c r="E14" i="7"/>
  <c r="F14" i="7"/>
  <c r="G14" i="7"/>
  <c r="B6" i="7"/>
  <c r="C6" i="7"/>
  <c r="H6" i="7" s="1"/>
  <c r="D6" i="7"/>
  <c r="E6" i="7"/>
  <c r="F6" i="7"/>
  <c r="G6" i="7"/>
  <c r="B9" i="7"/>
  <c r="C9" i="7"/>
  <c r="H9" i="7" s="1"/>
  <c r="D9" i="7"/>
  <c r="E9" i="7"/>
  <c r="F9" i="7"/>
  <c r="G9" i="7"/>
  <c r="B5" i="7"/>
  <c r="A7" i="9" s="1"/>
  <c r="C5" i="7"/>
  <c r="H5" i="7" s="1"/>
  <c r="D5" i="7"/>
  <c r="E5" i="7"/>
  <c r="F5" i="7"/>
  <c r="G5" i="7"/>
  <c r="B7" i="7"/>
  <c r="C7" i="7"/>
  <c r="H7" i="7" s="1"/>
  <c r="D7" i="7"/>
  <c r="E7" i="7"/>
  <c r="F7" i="7"/>
  <c r="G7" i="7"/>
  <c r="B8" i="7"/>
  <c r="C8" i="7"/>
  <c r="H8" i="7" s="1"/>
  <c r="D8" i="7"/>
  <c r="E8" i="7"/>
  <c r="F8" i="7"/>
  <c r="G8" i="7"/>
  <c r="B10" i="7"/>
  <c r="C10" i="7"/>
  <c r="H10" i="7" s="1"/>
  <c r="D10" i="7"/>
  <c r="E10" i="7"/>
  <c r="F10" i="7"/>
  <c r="G10" i="7"/>
  <c r="B11" i="7"/>
  <c r="C11" i="7"/>
  <c r="H11" i="7" s="1"/>
  <c r="D11" i="7"/>
  <c r="E11" i="7"/>
  <c r="F11" i="7"/>
  <c r="G11" i="7"/>
  <c r="B12" i="7"/>
  <c r="C12" i="7"/>
  <c r="H12" i="7" s="1"/>
  <c r="D12" i="7"/>
  <c r="E12" i="7"/>
  <c r="F12" i="7"/>
  <c r="G12" i="7"/>
</calcChain>
</file>

<file path=xl/sharedStrings.xml><?xml version="1.0" encoding="utf-8"?>
<sst xmlns="http://schemas.openxmlformats.org/spreadsheetml/2006/main" count="921" uniqueCount="667">
  <si>
    <t>Talent Market Mapping &amp; Recruitment Research</t>
  </si>
  <si>
    <t>Sector: Enterprise AI / GenAI &amp; SaaS (India hiring lens)  |  Compiled: Oct 2026</t>
  </si>
  <si>
    <t>HOW THE WORKBOOK FLOWS</t>
  </si>
  <si>
    <t>Companies: 44-company database with standardised fields, filters and a client-fit score</t>
  </si>
  <si>
    <t>Roles &amp; Skills: 7 roles compared across 21 skills (3 = must-have, 2 = preferred, 1 = nice-to-have, 0 = not needed)</t>
  </si>
  <si>
    <t>Job Order: sample structured job order (must-have / preferred / disqualifiers) with a weighted candidate scorecard</t>
  </si>
  <si>
    <t>Sourcing Strategy: channels, LinkedIn Boolean strings, feeder companies, funnel model, outreach template</t>
  </si>
  <si>
    <t>Insights: formula-driven hiring patterns (by company type, hub, size, role demand) + chart</t>
  </si>
  <si>
    <t>Client Prospects: top-10 potential client companies, ranked automatically, with outreach angle</t>
  </si>
  <si>
    <t>Market Report: the short written report (headline numbers update from the data)</t>
  </si>
  <si>
    <t>Assumptions: scoring weights and lookup tables. Change a weight and every score and ranking updates</t>
  </si>
  <si>
    <t>Sources: evidence log with links and a source-quality rating for every hiring signal filled in</t>
  </si>
  <si>
    <t>COLOUR LEGEND</t>
  </si>
  <si>
    <t>Blue text on yellow = cells YOU fill or edit.  Black = formulas / fixed text.  Blue text, no fill = my assumptions you can change.</t>
  </si>
  <si>
    <t>DATA PROVENANCE (read this before you quote anything)</t>
  </si>
  <si>
    <t>Company, HQ, India hub, size band, likely roles and agency-openness scores are desk-research ESTIMATES from general knowledge. Spot-check before presenting.</t>
  </si>
  <si>
    <t>Hiring signal, open roles, careers URL and date checked are filled for 19 companies. ServiceNow, Sarvam AI, Freshworks, Salesforce, Deloitte and Adobe were read from their official careers pages or hiring boards (open-job counts verified 25 Oct 2026); Accenture, TCS, Infosys, Wipro, HCLTech and Tech Mahindra and Yellow.ai, Postman and Fractal rely on news and job-board evidence on the Sources sheet. The other 25 are blank: fill them from live careers pages and LinkedIn Jobs.</t>
  </si>
  <si>
    <t>Where Hiring signal is blank, the fit score uses a neutral default (see Assumptions), so rankings are provisional. Careers URLs for the big IT firms are the standard careers pages; click to confirm. Evidence came from secondary sources (news, aggregators), not from logging into careers portals.</t>
  </si>
  <si>
    <t>Example of a filled row: Hiring signal = 4, Open roles seen = 12, Careers URL = company careers page link, Date checked = 2026-10-25</t>
  </si>
  <si>
    <t>Candidates on the Job Order sheet are dummy data for illustration. Use only public professional information when sourcing, respect platform terms of service and India's DPDP Act.</t>
  </si>
  <si>
    <t>ID</t>
  </si>
  <si>
    <t>Company</t>
  </si>
  <si>
    <t>Sub-segment</t>
  </si>
  <si>
    <t>Type</t>
  </si>
  <si>
    <t>HQ (global)</t>
  </si>
  <si>
    <t>Primary India hub</t>
  </si>
  <si>
    <t>Size band</t>
  </si>
  <si>
    <t>Likely roles hired (R1-R7)</t>
  </si>
  <si>
    <t>Agency openness (1-5, est.)</t>
  </si>
  <si>
    <t>Hiring signal (1-5) FILL</t>
  </si>
  <si>
    <t>Open roles seen (#) FILL</t>
  </si>
  <si>
    <t>Careers URL FILL</t>
  </si>
  <si>
    <t>Date checked FILL</t>
  </si>
  <si>
    <t>Size score</t>
  </si>
  <si>
    <t>Role breadth</t>
  </si>
  <si>
    <t>Client fit score</t>
  </si>
  <si>
    <t>Rank key (helper)</t>
  </si>
  <si>
    <t>Notes</t>
  </si>
  <si>
    <t>C01</t>
  </si>
  <si>
    <t>ServiceNow</t>
  </si>
  <si>
    <t>Enterprise workflow platform</t>
  </si>
  <si>
    <t>Platform vendor</t>
  </si>
  <si>
    <t>Santa Clara, US</t>
  </si>
  <si>
    <t>Hyderabad</t>
  </si>
  <si>
    <t>Large</t>
  </si>
  <si>
    <t>R1,R2,R5,R6,R7</t>
  </si>
  <si>
    <t>https://careers.servicenow.com/locations/apj/india/</t>
  </si>
  <si>
    <t>Core of the ServiceNow ecosystem; ties to your CAD prep | VERIFIED on careers site 25 Oct 2026: 71 open jobs in India; India page says plans to double the team within a few years. See Sources S9.</t>
  </si>
  <si>
    <t>C02</t>
  </si>
  <si>
    <t>Salesforce</t>
  </si>
  <si>
    <t>CRM / enterprise platform</t>
  </si>
  <si>
    <t>San Francisco, US</t>
  </si>
  <si>
    <t>R1,R2,R3,R6,R7</t>
  </si>
  <si>
    <t>https://careers.salesforce.com/en/jobs/</t>
  </si>
  <si>
    <t>Agentforce push drives GenAI hiring | Official careers site read via search snapshot 25 Oct 2026: about 1,400 jobs listed overall (global count, not India-only); India listings include Agentforce technical manager and architect roles; India page describes an expanded Centre of Excellence and AI-first growth in Hyderabad, Bangalore, Mumbai, Pune, Gurgaon. See Sources S15.</t>
  </si>
  <si>
    <t>C03</t>
  </si>
  <si>
    <t>SAP Labs India</t>
  </si>
  <si>
    <t>Enterprise software</t>
  </si>
  <si>
    <t>Walldorf, Germany</t>
  </si>
  <si>
    <t>Bengaluru</t>
  </si>
  <si>
    <t>R1,R2,R4,R6,R7</t>
  </si>
  <si>
    <t>C04</t>
  </si>
  <si>
    <t>Oracle</t>
  </si>
  <si>
    <t>Enterprise software / cloud</t>
  </si>
  <si>
    <t>Austin, US</t>
  </si>
  <si>
    <t>R1,R2,R4,R7</t>
  </si>
  <si>
    <t>C05</t>
  </si>
  <si>
    <t>Workday</t>
  </si>
  <si>
    <t>HR and finance cloud</t>
  </si>
  <si>
    <t>Pleasanton, US</t>
  </si>
  <si>
    <t>Pune</t>
  </si>
  <si>
    <t>R1,R2,R4,R6</t>
  </si>
  <si>
    <t>C06</t>
  </si>
  <si>
    <t>Adobe</t>
  </si>
  <si>
    <t>Creative / document cloud</t>
  </si>
  <si>
    <t>San Jose, US</t>
  </si>
  <si>
    <t>NCR</t>
  </si>
  <si>
    <t>R1,R2,R3,R6</t>
  </si>
  <si>
    <t>https://www.adobe.com/careers/engineering.html</t>
  </si>
  <si>
    <t>Firefly / GenAI product teams | Official careers pages read via search snapshot 25 Oct 2026: engineering and product page shows 500+ jobs (global count, not India-only), with Noida GenAI / ML roles; entry-level '2026 University Graduate - Software Engineer' postings seen on a job board. Secondary sources report a new Noida campus (May 2026). See Sources S19.</t>
  </si>
  <si>
    <t>C07</t>
  </si>
  <si>
    <t>Atlassian</t>
  </si>
  <si>
    <t>Collaboration SaaS</t>
  </si>
  <si>
    <t>SaaS product</t>
  </si>
  <si>
    <t>Sydney, Australia</t>
  </si>
  <si>
    <t>C08</t>
  </si>
  <si>
    <t>Microsoft (IDC)</t>
  </si>
  <si>
    <t>Cloud / AI</t>
  </si>
  <si>
    <t>Redmond, US</t>
  </si>
  <si>
    <t>Very competitive, brand-led hiring</t>
  </si>
  <si>
    <t>C09</t>
  </si>
  <si>
    <t>Google (India)</t>
  </si>
  <si>
    <t>Mountain View, US</t>
  </si>
  <si>
    <t>C10</t>
  </si>
  <si>
    <t>Freshworks</t>
  </si>
  <si>
    <t>CX / ITSM SaaS</t>
  </si>
  <si>
    <t>San Mateo, US</t>
  </si>
  <si>
    <t>Chennai</t>
  </si>
  <si>
    <t>Mid</t>
  </si>
  <si>
    <t>https://careers.smartrecruiters.com/Freshworks/pd</t>
  </si>
  <si>
    <t>Direct ITSM competitor to ServiceNow | VERIFIED on official ATS board 25 Oct 2026: 28 India openings (Bengaluru 12, Chennai 12, Hyderabad 4), almost all Senior/Staff/Lead/Principal, so not fresher-friendly. See Sources S11.</t>
  </si>
  <si>
    <t>C11</t>
  </si>
  <si>
    <t>Zoho</t>
  </si>
  <si>
    <t>Business SaaS suite</t>
  </si>
  <si>
    <t>Chennai, India</t>
  </si>
  <si>
    <t>Hires heavily from own campus pipeline</t>
  </si>
  <si>
    <t>C12</t>
  </si>
  <si>
    <t>Postman</t>
  </si>
  <si>
    <t>API platform</t>
  </si>
  <si>
    <t>R1,R2,R6</t>
  </si>
  <si>
    <t>25 Oct 2026: several current Bengaluru roles (AI Infrastructure Manager, Engineering Manager Postman AI, frontend engineer) on job boards; no official count. Job posts say Postman does NOT accept unsolicited agency resumes, so agency openness set to 1: needs a signed agreement first. See Sources S13.</t>
  </si>
  <si>
    <t>C13</t>
  </si>
  <si>
    <t>Chargebee</t>
  </si>
  <si>
    <t>Subscription billing</t>
  </si>
  <si>
    <t>R2,R4,R6</t>
  </si>
  <si>
    <t>C14</t>
  </si>
  <si>
    <t>Razorpay</t>
  </si>
  <si>
    <t>Payments / fintech</t>
  </si>
  <si>
    <t>Bengaluru, India</t>
  </si>
  <si>
    <t>R2,R3,R4,R6</t>
  </si>
  <si>
    <t>Mixed evidence 25 Oct 2026: aggregator counts disagree widely (about 3 to 10 on some, about 60 on another); ATS is Greenhouse with senior engineering and talent-partner roles; entry roles seen are mostly analysts and interns. Treat count as unknown. See Sources S16.</t>
  </si>
  <si>
    <t>C15</t>
  </si>
  <si>
    <t>Darwinbox</t>
  </si>
  <si>
    <t>HR tech</t>
  </si>
  <si>
    <t>Hyderabad, India</t>
  </si>
  <si>
    <t>R1,R3,R4,R6</t>
  </si>
  <si>
    <t>C16</t>
  </si>
  <si>
    <t>Leena AI</t>
  </si>
  <si>
    <t>Enterprise GenAI agents</t>
  </si>
  <si>
    <t>AI startup</t>
  </si>
  <si>
    <t>US / Bengaluru</t>
  </si>
  <si>
    <t>Small</t>
  </si>
  <si>
    <t>R1,R2,R6,R7</t>
  </si>
  <si>
    <t>Employee-service automation, overlaps ITSM space | 25 Oct 2026: few openings (1 role pulled from its ATS; job boards show mainly sales and US roles plus a Bengaluru delivery / forward-deployed engineering role). Company pages also list a Gurugram office, so hub may be NCR. See Sources S17.</t>
  </si>
  <si>
    <t>C17</t>
  </si>
  <si>
    <t>Whatfix</t>
  </si>
  <si>
    <t>Digital adoption platform</t>
  </si>
  <si>
    <t>C18</t>
  </si>
  <si>
    <t>BrowserStack</t>
  </si>
  <si>
    <t>Software testing platform</t>
  </si>
  <si>
    <t>Dublin / Mumbai</t>
  </si>
  <si>
    <t>Mumbai</t>
  </si>
  <si>
    <t>C19</t>
  </si>
  <si>
    <t>CleverTap</t>
  </si>
  <si>
    <t>Customer engagement</t>
  </si>
  <si>
    <t>Mountain View / Mumbai</t>
  </si>
  <si>
    <t>R2,R3,R4</t>
  </si>
  <si>
    <t>C20</t>
  </si>
  <si>
    <t>MoEngage</t>
  </si>
  <si>
    <t>San Francisco / Bengaluru</t>
  </si>
  <si>
    <t>R1,R2,R3,R4</t>
  </si>
  <si>
    <t>C21</t>
  </si>
  <si>
    <t>Innovaccer</t>
  </si>
  <si>
    <t>Healthcare data and AI</t>
  </si>
  <si>
    <t>AI SaaS</t>
  </si>
  <si>
    <t>R1,R2,R3,R4,R7</t>
  </si>
  <si>
    <t>Large Noida base; relevant to your MediGenius work | Greenhouse board postings and a job-board mirror 25 Oct 2026: about 44 jobs in total (global, roughly half Noida on-site); includes apprentice roles (Data Ops Engineer, Talent Acquisition) that suit entry-level candidates; runs some in-house talent acquisition. See Sources S20.</t>
  </si>
  <si>
    <t>C22</t>
  </si>
  <si>
    <t>Uniphore</t>
  </si>
  <si>
    <t>Conversational / enterprise AI</t>
  </si>
  <si>
    <t>Palo Alto, US</t>
  </si>
  <si>
    <t>C23</t>
  </si>
  <si>
    <t>Observe.AI</t>
  </si>
  <si>
    <t>Contact-centre AI</t>
  </si>
  <si>
    <t>C24</t>
  </si>
  <si>
    <t>Yellow.ai</t>
  </si>
  <si>
    <t>Conversational AI</t>
  </si>
  <si>
    <t>https://yellow.ai/careers</t>
  </si>
  <si>
    <t>WEAK evidence 25 Oct 2026: only job-board and training-site listings (GenAI intern roles in many cities, early-career AI engineer posts); no official count read. See Sources S12.</t>
  </si>
  <si>
    <t>C25</t>
  </si>
  <si>
    <t>Gupshup</t>
  </si>
  <si>
    <t>Conversational messaging</t>
  </si>
  <si>
    <t>R1,R2,R4</t>
  </si>
  <si>
    <t>C26</t>
  </si>
  <si>
    <t>Sprinklr</t>
  </si>
  <si>
    <t>Customer experience platform</t>
  </si>
  <si>
    <t>New York, US</t>
  </si>
  <si>
    <t>C27</t>
  </si>
  <si>
    <t>Sarvam AI</t>
  </si>
  <si>
    <t>Indic LLMs</t>
  </si>
  <si>
    <t>R1,R2,R3</t>
  </si>
  <si>
    <t>https://www.sarvam.ai/careers</t>
  </si>
  <si>
    <t>Frontier-style research and applied roles | VERIFIED on careers page 25 Oct 2026: 61 open positions (30 engineering, 12 sales/GTM), mostly Bengaluru on-site. Also $234M Series B (Jun 2026). See Sources S5, S10.</t>
  </si>
  <si>
    <t>C28</t>
  </si>
  <si>
    <t>Krutrim</t>
  </si>
  <si>
    <t>Indic LLMs / AI cloud</t>
  </si>
  <si>
    <t>C29</t>
  </si>
  <si>
    <t>Gnani.ai</t>
  </si>
  <si>
    <t>Voice AI</t>
  </si>
  <si>
    <t>C30</t>
  </si>
  <si>
    <t>Haptik</t>
  </si>
  <si>
    <t>Mumbai, India</t>
  </si>
  <si>
    <t>R1,R2,R7</t>
  </si>
  <si>
    <t>C31</t>
  </si>
  <si>
    <t>Fractal Analytics</t>
  </si>
  <si>
    <t>AI and analytics services</t>
  </si>
  <si>
    <t>Analytics &amp; AI services</t>
  </si>
  <si>
    <t>R1,R2,R3,R4,R6,R7</t>
  </si>
  <si>
    <t>Large entry-level analyst intake | 25 Oct 2026: 68 jobs listed on Indeed (not official), spread across Bengaluru, Mumbai, Gurugram; includes an agentic/GenAI platform architect role; mostly mid-senior titles. See Sources S14.</t>
  </si>
  <si>
    <t>C32</t>
  </si>
  <si>
    <t>Tiger Analytics</t>
  </si>
  <si>
    <t>Analytics services</t>
  </si>
  <si>
    <t>R2,R3,R4,R7</t>
  </si>
  <si>
    <t>C33</t>
  </si>
  <si>
    <t>LatentView Analytics</t>
  </si>
  <si>
    <t>R3,R4,R7</t>
  </si>
  <si>
    <t>C34</t>
  </si>
  <si>
    <t>Tredence</t>
  </si>
  <si>
    <t>C35</t>
  </si>
  <si>
    <t>Deloitte</t>
  </si>
  <si>
    <t>Consulting / ServiceNow partner</t>
  </si>
  <si>
    <t>IT services</t>
  </si>
  <si>
    <t>London, UK</t>
  </si>
  <si>
    <t>R1,R3,R5,R6,R7</t>
  </si>
  <si>
    <t>https://usijobs.deloitte.com/careersUSI/SearchJobs/</t>
  </si>
  <si>
    <t>Matches your hackathon experience | Official US-India portal read via search snapshots 25 Oct 2026: current listings include ServiceNow roles (HRSD Developer, GRC/IRM, Platform Architect, SRE) and GenAI roles (Python Gen AI Engineer, Gen AI Full Stack, AI Engineer), mostly Hyderabad. The 1,500+ India openings figure is reported by a job-board article citing Deloitte's South Asia site, and the ~50,000 India hiring plan comes from a news site: treat both as unverified. See Sources S18.</t>
  </si>
  <si>
    <t>C36</t>
  </si>
  <si>
    <t>Accenture</t>
  </si>
  <si>
    <t>IT services / ServiceNow partner</t>
  </si>
  <si>
    <t>Dublin, Ireland</t>
  </si>
  <si>
    <t>R1,R2,R3,R4,R5,R7</t>
  </si>
  <si>
    <t>https://www.accenture.com/in-en/careers</t>
  </si>
  <si>
    <t>Evidence: active AI/GenAI fresher roles (LLM Full Stack Engineer, Data Science Associate, AI/ML Associate) seen on job aggregators; FY26 GenAI fresher push. See Sources S1-S3.</t>
  </si>
  <si>
    <t>C37</t>
  </si>
  <si>
    <t>TCS</t>
  </si>
  <si>
    <t>https://www.tcs.com/careers</t>
  </si>
  <si>
    <t>Evidence: FY27 fresher plan ~25k vs 40-42k earlier; Q1 FY27 headcount +9,279. See Sources S4.</t>
  </si>
  <si>
    <t>C38</t>
  </si>
  <si>
    <t>Infosys</t>
  </si>
  <si>
    <t>https://www.infosys.com/careers/</t>
  </si>
  <si>
    <t>Evidence: plans ~20k freshers in FY27; headcount -532 in Q1 FY27. See Sources S4.</t>
  </si>
  <si>
    <t>C39</t>
  </si>
  <si>
    <t>Wipro</t>
  </si>
  <si>
    <t>R1,R2,R4,R5,R7</t>
  </si>
  <si>
    <t>https://careers.wipro.com/</t>
  </si>
  <si>
    <t>Evidence: Q1 FY27 headcount +888; no fresher number disclosed. See Sources S4.</t>
  </si>
  <si>
    <t>C40</t>
  </si>
  <si>
    <t>HCLTech</t>
  </si>
  <si>
    <t>Noida, India</t>
  </si>
  <si>
    <t>https://www.hcltech.com/careers</t>
  </si>
  <si>
    <t>Evidence: headcount fell in Q1 FY27; productivity-led growth. See Sources S4.</t>
  </si>
  <si>
    <t>C41</t>
  </si>
  <si>
    <t>Cognizant</t>
  </si>
  <si>
    <t>Teaneck, US</t>
  </si>
  <si>
    <t>R1,R3,R4,R5,R7</t>
  </si>
  <si>
    <t>News 25 Oct 2026: CFO confirmed plans to hire 24,000-25,000 freshers in 2026 (about 20% above 2025) under a 'broader pyramid' strategy, which runs against peers' cautious fresher plans. No careers-page count read. See Sources S21.</t>
  </si>
  <si>
    <t>C42</t>
  </si>
  <si>
    <t>Capgemini</t>
  </si>
  <si>
    <t>Paris, France</t>
  </si>
  <si>
    <t>C43</t>
  </si>
  <si>
    <t>Tech Mahindra</t>
  </si>
  <si>
    <t>Pune, India</t>
  </si>
  <si>
    <t>R1,R4,R5,R7</t>
  </si>
  <si>
    <t>Evidence: Q1 FY27 headcount down 863 sequentially. See Sources S4.</t>
  </si>
  <si>
    <t>C44</t>
  </si>
  <si>
    <t>Walmart Global Tech</t>
  </si>
  <si>
    <t>Retail technology centre</t>
  </si>
  <si>
    <t>GCC</t>
  </si>
  <si>
    <t>Bentonville, US</t>
  </si>
  <si>
    <t>R1,R2,R3,R4,R6</t>
  </si>
  <si>
    <t>Large captive tech centre</t>
  </si>
  <si>
    <t>Role comparison (5-8 roles) and skills matrix</t>
  </si>
  <si>
    <t>Code</t>
  </si>
  <si>
    <t>Role</t>
  </si>
  <si>
    <t>Typical titles</t>
  </si>
  <si>
    <t>Typical entry route</t>
  </si>
  <si>
    <t>Where it is hired most</t>
  </si>
  <si>
    <t>Fresher-friendliness (1-5, est.)</t>
  </si>
  <si>
    <t># Must-have skills</t>
  </si>
  <si>
    <t># Preferred skills</t>
  </si>
  <si>
    <t># Nice-to-have skills</t>
  </si>
  <si>
    <t>R1</t>
  </si>
  <si>
    <t>GenAI / LLM Engineer</t>
  </si>
  <si>
    <t>GenAI Engineer, LLM Application Developer, AI Engineer</t>
  </si>
  <si>
    <t>B.Tech + deployed LLM / RAG projects; internships at AI startups</t>
  </si>
  <si>
    <t>AI startups, AI SaaS, platform vendors, IT services AI labs</t>
  </si>
  <si>
    <t>R2</t>
  </si>
  <si>
    <t>ML Engineer / MLOps</t>
  </si>
  <si>
    <t>ML Engineer, MLOps Engineer, Applied Scientist</t>
  </si>
  <si>
    <t>B.Tech/M.Tech + model deployment experience</t>
  </si>
  <si>
    <t>Platform vendors, AI SaaS, GCCs</t>
  </si>
  <si>
    <t>R3</t>
  </si>
  <si>
    <t>Data Scientist</t>
  </si>
  <si>
    <t>Data Scientist, Decision Scientist, Analytics Associate</t>
  </si>
  <si>
    <t>B.Tech/stats degrees; analytics internships; campus intake at analytics firms</t>
  </si>
  <si>
    <t>Analytics services, fintech / SaaS, GCCs</t>
  </si>
  <si>
    <t>R4</t>
  </si>
  <si>
    <t>Data Engineer</t>
  </si>
  <si>
    <t>Data Engineer, Analytics Engineer, Big Data Engineer</t>
  </si>
  <si>
    <t>B.Tech with SQL, pipelines and cloud projects</t>
  </si>
  <si>
    <t>IT services, SaaS, GCCs, analytics firms</t>
  </si>
  <si>
    <t>R5</t>
  </si>
  <si>
    <t>ServiceNow Developer</t>
  </si>
  <si>
    <t>ServiceNow Developer, ITSM Developer, Platform Engineer</t>
  </si>
  <si>
    <t>CAD certification + hands-on instance work; partner-firm graduate programmes</t>
  </si>
  <si>
    <t>IT services partners, ServiceNow itself, consulting</t>
  </si>
  <si>
    <t>R6</t>
  </si>
  <si>
    <t>AI Product Manager</t>
  </si>
  <si>
    <t>Associate PM (AI), Technical PM, Product Analyst</t>
  </si>
  <si>
    <t>APM programmes, product internships, or tech background with shipped projects</t>
  </si>
  <si>
    <t>Product / SaaS firms, platform vendors, AI startups</t>
  </si>
  <si>
    <t>R7</t>
  </si>
  <si>
    <t>Solutions Consultant / Pre-sales</t>
  </si>
  <si>
    <t>Solutions Engineer, Technical Consultant, Pre-sales Engineer</t>
  </si>
  <si>
    <t>Tech degree + strong communication; consulting / services graduate roles</t>
  </si>
  <si>
    <t>IT services, SaaS vendors, analytics services</t>
  </si>
  <si>
    <t>Skills matrix: 3 = must-have, 2 = preferred, 1 = nice-to-have, 0 = not needed (analyst judgement; validate against live job descriptions)</t>
  </si>
  <si>
    <t>Skill</t>
  </si>
  <si>
    <t>Category</t>
  </si>
  <si>
    <t>Python</t>
  </si>
  <si>
    <t>Programming</t>
  </si>
  <si>
    <t>SQL</t>
  </si>
  <si>
    <t>Data</t>
  </si>
  <si>
    <t>PyTorch / TensorFlow</t>
  </si>
  <si>
    <t>ML</t>
  </si>
  <si>
    <t>Classical ML (scikit-learn, XGBoost)</t>
  </si>
  <si>
    <t>LLM APIs and prompt engineering</t>
  </si>
  <si>
    <t>GenAI</t>
  </si>
  <si>
    <t>RAG and vector databases</t>
  </si>
  <si>
    <t>Agent frameworks (LangChain, LlamaIndex)</t>
  </si>
  <si>
    <t>Fine-tuning (LoRA / PEFT)</t>
  </si>
  <si>
    <t>Model evaluation and responsible AI</t>
  </si>
  <si>
    <t>MLOps (Docker, CI/CD, MLflow)</t>
  </si>
  <si>
    <t>Engineering</t>
  </si>
  <si>
    <t>Cloud (AWS / Azure / GCP)</t>
  </si>
  <si>
    <t>Data pipelines (Spark, Airflow, dbt)</t>
  </si>
  <si>
    <t>Statistics and experimentation</t>
  </si>
  <si>
    <t>Data visualisation (Power BI / Tableau)</t>
  </si>
  <si>
    <t>ServiceNow platform (Glide, Flow Designer)</t>
  </si>
  <si>
    <t>JavaScript</t>
  </si>
  <si>
    <t>REST / API integration</t>
  </si>
  <si>
    <t>System design</t>
  </si>
  <si>
    <t>Product sense and roadmapping</t>
  </si>
  <si>
    <t>Product</t>
  </si>
  <si>
    <t>Stakeholder communication</t>
  </si>
  <si>
    <t>Soft skill</t>
  </si>
  <si>
    <t>Technical presales and demos</t>
  </si>
  <si>
    <t>Client-facing</t>
  </si>
  <si>
    <t>Sample structured job order (illustrative, anonymised client)</t>
  </si>
  <si>
    <t>Client</t>
  </si>
  <si>
    <t>Client X: Series-C B2B SaaS company (anonymised sample)</t>
  </si>
  <si>
    <t>Associate GenAI Engineer (maps to R1 in Roles &amp; Skills)</t>
  </si>
  <si>
    <t>Location</t>
  </si>
  <si>
    <t>Bengaluru, hybrid (3 days in office)</t>
  </si>
  <si>
    <t>Headcount</t>
  </si>
  <si>
    <t>2</t>
  </si>
  <si>
    <t>Experience</t>
  </si>
  <si>
    <t>1-3 years (strong final-year / early-career candidates considered)</t>
  </si>
  <si>
    <t>Reports to</t>
  </si>
  <si>
    <t>Engineering Manager, AI Platform</t>
  </si>
  <si>
    <t>Business context</t>
  </si>
  <si>
    <t>Building LLM-powered support and workflow automation features; moving prototypes to production</t>
  </si>
  <si>
    <t>Compensation</t>
  </si>
  <si>
    <t>To be confirmed with client; benchmark against market before outreach</t>
  </si>
  <si>
    <t>Interview process</t>
  </si>
  <si>
    <t>Recruiter screen, technical screen (Python + LLM design), take-home or live RAG exercise, hiring manager round</t>
  </si>
  <si>
    <t>Disqualifiers</t>
  </si>
  <si>
    <t>No hands-on LLM project; only notebooks with nothing deployed; notice period beyond client limit</t>
  </si>
  <si>
    <t>#</t>
  </si>
  <si>
    <t>Criterion</t>
  </si>
  <si>
    <t>Weight</t>
  </si>
  <si>
    <t>How to verify from public information</t>
  </si>
  <si>
    <t>Candidate A (dummy)</t>
  </si>
  <si>
    <t>Candidate B (dummy)</t>
  </si>
  <si>
    <t>Candidate C (dummy)</t>
  </si>
  <si>
    <t>Python, 1+ years professional or substantial project use</t>
  </si>
  <si>
    <t>Must</t>
  </si>
  <si>
    <t>GitHub repos, LinkedIn skills and project descriptions</t>
  </si>
  <si>
    <t>Built and shipped an LLM-powered application (API-based or open-source)</t>
  </si>
  <si>
    <t>GitHub README, demo links, project write-ups</t>
  </si>
  <si>
    <t>Hands-on RAG with a vector database</t>
  </si>
  <si>
    <t>Repo dependencies, blog posts, project descriptions</t>
  </si>
  <si>
    <t>REST API development (FastAPI / Flask)</t>
  </si>
  <si>
    <t>GitHub code, project stack listed</t>
  </si>
  <si>
    <t>Git and basic cloud deployment</t>
  </si>
  <si>
    <t>Commit history, deployed demo URLs</t>
  </si>
  <si>
    <t>B.Tech / equivalent in CS or related field</t>
  </si>
  <si>
    <t>LinkedIn education</t>
  </si>
  <si>
    <t>LangChain / LlamaIndex or agent frameworks</t>
  </si>
  <si>
    <t>Preferred</t>
  </si>
  <si>
    <t>Repo imports, project descriptions</t>
  </si>
  <si>
    <t>LLM evaluation (RAGAS, custom eval harness)</t>
  </si>
  <si>
    <t>Project write-ups, blog posts</t>
  </si>
  <si>
    <t>Fine-tuning experience (LoRA / PEFT)</t>
  </si>
  <si>
    <t>Hugging Face profile, repos</t>
  </si>
  <si>
    <t>Docker and CI/CD</t>
  </si>
  <si>
    <t>Dockerfiles and workflow files in repos</t>
  </si>
  <si>
    <t>Prior SaaS / startup exposure</t>
  </si>
  <si>
    <t>LinkedIn experience, internships</t>
  </si>
  <si>
    <t>Public portfolio (GitHub, Kaggle, Hugging Face, blog)</t>
  </si>
  <si>
    <t>Profile links</t>
  </si>
  <si>
    <t>Weighted score</t>
  </si>
  <si>
    <t>Must-have gate</t>
  </si>
  <si>
    <t>Recommendation</t>
  </si>
  <si>
    <t>Weights: Must = 5, Preferred = 2 (editable). Flags: 1 = evidence found in public profile, 0 = not found. Shortlist threshold is set on the Assumptions sheet.</t>
  </si>
  <si>
    <t>Sourcing strategy: Associate GenAI Engineer (sample job order)</t>
  </si>
  <si>
    <t>1. Channels and what to look for</t>
  </si>
  <si>
    <t>Channel</t>
  </si>
  <si>
    <t>What to look for</t>
  </si>
  <si>
    <t>Public signal</t>
  </si>
  <si>
    <t>Tactic</t>
  </si>
  <si>
    <t>LinkedIn (Recruiter / search)</t>
  </si>
  <si>
    <t>Python + LLM / RAG keywords, recent GenAI projects</t>
  </si>
  <si>
    <t>Headline, skills, project and experience sections</t>
  </si>
  <si>
    <t>Boolean search, save searches, filter by location and graduation year</t>
  </si>
  <si>
    <t>GitHub</t>
  </si>
  <si>
    <t>Repos with RAG, agents or FastAPI services; recent commits</t>
  </si>
  <si>
    <t>Stars, README quality, deployment links</t>
  </si>
  <si>
    <t>Search by topic and language; shortlist active contributors, then find them on LinkedIn</t>
  </si>
  <si>
    <t>Hugging Face / Kaggle</t>
  </si>
  <si>
    <t>Spaces, models, notebooks and competition ranks</t>
  </si>
  <si>
    <t>Public profile, activity</t>
  </si>
  <si>
    <t>Look for deployed Spaces and notebook quality</t>
  </si>
  <si>
    <t>Hackathon and community lists</t>
  </si>
  <si>
    <t>Winners and finalists at GenAI hackathons and meetups</t>
  </si>
  <si>
    <t>Event result pages, speaker lists</t>
  </si>
  <si>
    <t>Track local events; reach out with specific congratulations on the project</t>
  </si>
  <si>
    <t>Feeder companies</t>
  </si>
  <si>
    <t>Teams building similar products (see section 3)</t>
  </si>
  <si>
    <t>Employee lists, public posts</t>
  </si>
  <si>
    <t>Map teams, then target people 1-3 years in with a growth ceiling</t>
  </si>
  <si>
    <t>Campus and alumni networks</t>
  </si>
  <si>
    <t>Final-year and recent grads with AI projects</t>
  </si>
  <si>
    <t>College clubs, project showcases</t>
  </si>
  <si>
    <t>Partner with placement cells and alumni groups</t>
  </si>
  <si>
    <t>Referrals</t>
  </si>
  <si>
    <t>Strong candidates know others</t>
  </si>
  <si>
    <t>Existing shortlist</t>
  </si>
  <si>
    <t>Ask every screened candidate for two names</t>
  </si>
  <si>
    <t>2. Boolean search strings (LinkedIn)</t>
  </si>
  <si>
    <t>Search string</t>
  </si>
  <si>
    <t>GenAI / LLM Engineer (R1)</t>
  </si>
  <si>
    <t>("generative AI" OR "LLM" OR "large language model" OR "GenAI") AND (Python) AND (RAG OR "vector database" OR LangChain OR LlamaIndex OR "OpenAI API") AND (Bengaluru OR Bangalore) NOT (intern OR recruiter OR "project manager")</t>
  </si>
  <si>
    <t>Drop NOT intern when sourcing freshers</t>
  </si>
  <si>
    <t>ML Engineer / MLOps (R2)</t>
  </si>
  <si>
    <t>("machine learning engineer" OR "ML engineer" OR MLOps) AND (Python) AND (PyTorch OR TensorFlow) AND (Docker OR Kubernetes OR MLflow OR "model deployment") AND (India)</t>
  </si>
  <si>
    <t>Add cloud keyword for the client stack</t>
  </si>
  <si>
    <t>Data Scientist (R3)</t>
  </si>
  <si>
    <t>("data scientist" OR "decision scientist") AND (Python) AND (SQL) AND ("machine learning" OR statistics OR "A/B testing") NOT (manager OR director)</t>
  </si>
  <si>
    <t>Add domain keyword for the client's industry</t>
  </si>
  <si>
    <t>Data Engineer (R4)</t>
  </si>
  <si>
    <t>("data engineer" OR "analytics engineer") AND (SQL) AND (Spark OR Airflow OR dbt OR Databricks) AND (AWS OR Azure OR GCP)</t>
  </si>
  <si>
    <t>Add warehouse tools: Snowflake, BigQuery</t>
  </si>
  <si>
    <t>ServiceNow Developer (R5)</t>
  </si>
  <si>
    <t>(ServiceNow) AND (developer OR "platform engineer") AND (GlideScript OR "Flow Designer" OR "Service Portal" OR ITSM) AND (CAD OR CSA OR "Certified Application Developer")</t>
  </si>
  <si>
    <t>Also search the ServiceNow Community profile pages</t>
  </si>
  <si>
    <t>AI Product Manager (R6)</t>
  </si>
  <si>
    <t>("product manager" OR "associate product manager" OR "product analyst") AND (AI OR ML OR "generative AI" OR platform) AND (roadmap OR PRD OR "user research")</t>
  </si>
  <si>
    <t>Check for shipped features in public posts</t>
  </si>
  <si>
    <t>Solutions Consultant (R7)</t>
  </si>
  <si>
    <t>("solutions engineer" OR "solutions consultant" OR "pre-sales" OR "technical consultant") AND (SaaS OR cloud OR AI) AND (demo OR "proof of concept" OR POC)</t>
  </si>
  <si>
    <t>Look for client-facing language in summaries</t>
  </si>
  <si>
    <t>3. Feeder companies (where to look first, by role)</t>
  </si>
  <si>
    <t>Feeder companies (from the Companies sheet)</t>
  </si>
  <si>
    <t>Why</t>
  </si>
  <si>
    <t>Leena AI, Yellow.ai, Observe.AI, Uniphore, Sarvam AI, Gnani.ai, Haptik, Krutrim</t>
  </si>
  <si>
    <t>Teams already shipping LLM products; candidates have production exposure</t>
  </si>
  <si>
    <t>Razorpay, Postman, Walmart Global Tech, Tredence, Tiger Analytics</t>
  </si>
  <si>
    <t>Strong engineering culture with deployment practice</t>
  </si>
  <si>
    <t>Fractal Analytics, LatentView, Tiger Analytics, Razorpay</t>
  </si>
  <si>
    <t>Large analytics benches, fast promotion cycles</t>
  </si>
  <si>
    <t>Infosys, TCS, Wipro, Accenture, Chargebee, Walmart Global Tech</t>
  </si>
  <si>
    <t>Volume pipelines of data engineering talent</t>
  </si>
  <si>
    <t>Deloitte, Accenture, TCS, Infosys, Wipro, HCLTech, Cognizant, Capgemini</t>
  </si>
  <si>
    <t>Biggest ServiceNow partner benches in India</t>
  </si>
  <si>
    <t>Freshworks, Zoho, Atlassian, Whatfix, Darwinbox</t>
  </si>
  <si>
    <t>Product-led SaaS with APM-style pathways</t>
  </si>
  <si>
    <t>Freshworks, Whatfix, Fractal Analytics, Capgemini, Deloitte</t>
  </si>
  <si>
    <t>Client-facing, demo-heavy roles</t>
  </si>
  <si>
    <t>Profiles identified</t>
  </si>
  <si>
    <t>Contact rate</t>
  </si>
  <si>
    <t>Contacted</t>
  </si>
  <si>
    <t>Reply rate</t>
  </si>
  <si>
    <t>Replies</t>
  </si>
  <si>
    <t>Screen-to-interested rate</t>
  </si>
  <si>
    <t>Screened (interested)</t>
  </si>
  <si>
    <t>Pass technical screen rate</t>
  </si>
  <si>
    <t>Shortlist sent to client</t>
  </si>
  <si>
    <t>Profiles needed per shortlisted candidate</t>
  </si>
  <si>
    <t>5. Outreach message template (research-led, short)</t>
  </si>
  <si>
    <t>Hiring patterns: formula-driven from the Companies sheet</t>
  </si>
  <si>
    <t>By company type</t>
  </si>
  <si>
    <t># Companies</t>
  </si>
  <si>
    <t>Avg fit score</t>
  </si>
  <si>
    <t>Avg agency openness</t>
  </si>
  <si>
    <t>Total</t>
  </si>
  <si>
    <t>By primary India hub</t>
  </si>
  <si>
    <t>Hub</t>
  </si>
  <si>
    <t>Share</t>
  </si>
  <si>
    <t>By size band</t>
  </si>
  <si>
    <t>Role demand (companies likely hiring each role)</t>
  </si>
  <si>
    <t>Top-10 potential client companies (auto-ranked by client fit score)</t>
  </si>
  <si>
    <t>Provisional until you fill Hiring signal on the Companies sheet. Weights live on the Assumptions sheet.</t>
  </si>
  <si>
    <t>Rank</t>
  </si>
  <si>
    <t>India hub</t>
  </si>
  <si>
    <t>Fit score</t>
  </si>
  <si>
    <t>Likely roles</t>
  </si>
  <si>
    <t>Suggested outreach angle</t>
  </si>
  <si>
    <t>Companies row (helper)</t>
  </si>
  <si>
    <t>Assumptions &amp; lookup tables</t>
  </si>
  <si>
    <t>Client-fit score weights</t>
  </si>
  <si>
    <t>Size score weight</t>
  </si>
  <si>
    <t>Role breadth weight</t>
  </si>
  <si>
    <t>Agency openness weight</t>
  </si>
  <si>
    <t>Hiring signal weight</t>
  </si>
  <si>
    <t>Weights check (must equal 100%)</t>
  </si>
  <si>
    <t>Default hiring signal if blank (1-5)</t>
  </si>
  <si>
    <t>Shortlist threshold (candidate scorecard)</t>
  </si>
  <si>
    <t>Size band -&gt; size score (bigger = more hiring volume)</t>
  </si>
  <si>
    <t>Size band definitions (global headcount): Large = 10,000+, Mid = 1,000-10,000, Small = under 1,000. Estimates.</t>
  </si>
  <si>
    <t>Outreach angle by company type</t>
  </si>
  <si>
    <t>Company type</t>
  </si>
  <si>
    <t>Low agency use, so pitch niche or hard-to-find talent pools (e.g. ServiceNow + GenAI hybrids), speed on specialist roles.</t>
  </si>
  <si>
    <t>Growing teams, lean TA. Pitch full-cycle support for engineering and product hires plus market mapping.</t>
  </si>
  <si>
    <t>Scarce GenAI talent and fast scaling. Pitch pre-mapped candidate pools and compensation benchmarking.</t>
  </si>
  <si>
    <t>No in-house TA at scale. Pitch embedded recruiting and rapid shortlists for first-10 / first-50 hires.</t>
  </si>
  <si>
    <t>High volume, ServiceNow and data skills in constant demand. Pitch pipeline building and bench-to-billable matching.</t>
  </si>
  <si>
    <t>Project-driven hiring spikes. Pitch flexible capacity and pre-vetted data / ML pools.</t>
  </si>
  <si>
    <t>Strong brand, India build-out. Pitch niche leadership and senior IC mapping, plus competitor talent maps.</t>
  </si>
  <si>
    <t>Talent Market Report: Enterprise AI / GenAI &amp; SaaS (India)</t>
  </si>
  <si>
    <t>Scope and method</t>
  </si>
  <si>
    <t>Headline numbers (update automatically)</t>
  </si>
  <si>
    <t>Hiring patterns</t>
  </si>
  <si>
    <t>1. AI demand is growing while general IT hiring is flat. One secondary source puts AI-role hiring in India up about 32% in 2026, and Naukri JobSpeak figures cited by another show Indian MNCs growing AI/ML hiring 82% year on year (treat both as indicative). GenAI skills are now table stakes across company types. LLM APIs, RAG and agent frameworks show up as must-haves for GenAI engineers and as preferred skills for product and solutions roles. Candidates with deployed projects stand out far more than coursework alone.</t>
  </si>
  <si>
    <t>2. Large IT services firms are hiring selectively, not in volume. Reports show the top five (TCS, Infosys, Wipro, HCLTech, Tech Mahindra) cut headcount by roughly 7,000 in FY26, TCS trimmed its FY27 fresher plan to about 25,000 from 40,000+, and Infosys held at about 20,000. Demand has shifted toward AI, cloud and data skills, and Accenture is visibly posting GenAI and AI/ML roles for 0-2 year candidates. ServiceNow work continues across the partner ecosystem, with CAD / CSA as the clearest screening signal.</t>
  </si>
  <si>
    <t>3. Product and platform companies hire fewer people with a higher bar. They rely on brand and campus pipelines, so agency openness is lower. The opening for recruiters is niche, senior or hard-to-find profiles.</t>
  </si>
  <si>
    <t>4. AI startups and AI SaaS firms are the most agency-friendly. Small TA teams, fast scaling and scarce GenAI talent make research-led mapping valuable to them, but their small size means fewer roles per account.</t>
  </si>
  <si>
    <t>5. Bengaluru dominates, but Hyderabad, Chennai and the NCR are significant secondary hubs (see the hub table on the Insights sheet). Location strategy should be role-specific, not city-wide.</t>
  </si>
  <si>
    <t>6. Verified India openings skew senior. Freshworks' official board lists 28 India roles, almost all Senior, Staff, Lead or Principal. Sarvam AI lists 61 positions, about half engineering, mostly on-site in Bengaluru. ServiceNow lists 71 India jobs. Entry-level seats are scarcer than headline hiring numbers suggest, which strengthens the case for pre-vetted junior pipelines.</t>
  </si>
  <si>
    <t>7. Some targets are closed to agencies. Postman's job posts say it does not accept unsolicited agency resumes or pay fees without a signed agreement, so the outreach angle there is a formal vendor-onboarding conversation, not a cold CV drop. Check each prospect's policy before outreach.</t>
  </si>
  <si>
    <t>Potential clients and outreach approach</t>
  </si>
  <si>
    <t>The scoring favours large IT services firms (volume plus role breadth), so they rank highest, even though their hiring is now selective and skills-led. AI startups and AI SaaS firms (Leena AI, Yellow.ai, Observe.AI, Sarvam AI, Gnani.ai, Haptik) rank lower on size but are the most open to agencies, so they suit embedded or project-based search. Mid-size SaaS (Freshworks, Postman, Darwinbox, Whatfix) sits in between for engineering and product roles. Pick the lead segment by goal: volume or fit.</t>
  </si>
  <si>
    <t>Outreach should be research-led: reference the company's visible hiring signals, offer a pre-mapped candidate pool for one role, and attach a short market snapshot. The full ranked list and angles are on the Client Prospects sheet.</t>
  </si>
  <si>
    <t>Limitations and next steps</t>
  </si>
  <si>
    <t>Evidence log (searched 25 Oct 2026)</t>
  </si>
  <si>
    <t>Used for</t>
  </si>
  <si>
    <t>Source</t>
  </si>
  <si>
    <t>Quality</t>
  </si>
  <si>
    <t>URL</t>
  </si>
  <si>
    <t>S1</t>
  </si>
  <si>
    <t>Accenture GenAI fresher hiring push (FY26)</t>
  </si>
  <si>
    <t>FACE Prep: Accenture recruitment 2026</t>
  </si>
  <si>
    <t>Secondary (prep site)</t>
  </si>
  <si>
    <t>https://faceprep.in/article/accenture-recruitment-2026-eligibility-and-exam-pattern/</t>
  </si>
  <si>
    <t>S2</t>
  </si>
  <si>
    <t>Accenture LLM Full Stack Engineer fresher opening</t>
  </si>
  <si>
    <t>Freshershunt listing</t>
  </si>
  <si>
    <t>Aggregator (verify on official portal)</t>
  </si>
  <si>
    <t>https://freshershunt.in/accenture-llm-full-stack-engineer-freshers-hiring-2026/</t>
  </si>
  <si>
    <t>S3</t>
  </si>
  <si>
    <t>Accenture Data Science Associate and AI/ML Associate openings</t>
  </si>
  <si>
    <t>Yohire / Enggwave listings</t>
  </si>
  <si>
    <t>https://yohire.in/job/accenture-india-hiring-2026-1791518412</t>
  </si>
  <si>
    <t>S3b</t>
  </si>
  <si>
    <t>Accenture AI/ML Engineer opening (Jul 2026)</t>
  </si>
  <si>
    <t>Enggwave</t>
  </si>
  <si>
    <t>https://www.enggwave.com/accenture-ai-ml-engineer-recruitment-2026/108432</t>
  </si>
  <si>
    <t>S4</t>
  </si>
  <si>
    <t>Top-five IT headcount fell ~7,000 in FY26; TCS FY27 fresher plan ~25k</t>
  </si>
  <si>
    <t>IANS</t>
  </si>
  <si>
    <t>News agency</t>
  </si>
  <si>
    <t>https://ianslive.in/top-it-firms-hiring-turns-negative-as-headcount-falls-over-7000-in-fy26--20260425104000</t>
  </si>
  <si>
    <t>S4b</t>
  </si>
  <si>
    <t>Infosys plans ~20,000 freshers in FY27</t>
  </si>
  <si>
    <t>Outlook Business</t>
  </si>
  <si>
    <t>News</t>
  </si>
  <si>
    <t>https://www.outlookbusiness.com/corporate/infosys-plans-to-hire-20000-freshers-in-fy27-even-as-quarterly-headcount-dips</t>
  </si>
  <si>
    <t>S4c</t>
  </si>
  <si>
    <t>Q1 FY27 headcount moves: Infosys, TechM, HCLTech, TCS, Wipro</t>
  </si>
  <si>
    <t>Entrepreneur India / NewsBytes</t>
  </si>
  <si>
    <t>https://india.entrepreneur.com/?p=98410</t>
  </si>
  <si>
    <t>S5</t>
  </si>
  <si>
    <t>Sarvam AI funding and expected hiring</t>
  </si>
  <si>
    <t>CareerIndia</t>
  </si>
  <si>
    <t>Secondary (career news site)</t>
  </si>
  <si>
    <t>https://www.careerindia.com/news/sarvam-ai-hiring-2026-valuation-indus-rollout-top-paying-roles-011-67035.html</t>
  </si>
  <si>
    <t>S5b</t>
  </si>
  <si>
    <t>Sarvam AI Series B first close, India AI talent pricing</t>
  </si>
  <si>
    <t>Asanify AI news digest</t>
  </si>
  <si>
    <t>Secondary</t>
  </si>
  <si>
    <t>https://asanify.com/blog/news/india-foundation-model-funding-june-29-2026/</t>
  </si>
  <si>
    <t>S6</t>
  </si>
  <si>
    <t>ServiceNow Hyderabad Software Engineer fresher drive</t>
  </si>
  <si>
    <t>Freshers Recruitment / Cloud Soft Solutions</t>
  </si>
  <si>
    <t>Aggregator (verify on careers.servicenow.com)</t>
  </si>
  <si>
    <t>https://freshersrecruitment.co.in/?p=4883</t>
  </si>
  <si>
    <t>S7</t>
  </si>
  <si>
    <t>AI-role hiring in India up ~32% in 2026; top roles</t>
  </si>
  <si>
    <t>GradRight</t>
  </si>
  <si>
    <t>Secondary, indicative only</t>
  </si>
  <si>
    <t>https://gradright.com/?p=49969</t>
  </si>
  <si>
    <t>S7b</t>
  </si>
  <si>
    <t>Naukri JobSpeak: Indian MNC AI/ML hiring +82% YoY (Feb 2026)</t>
  </si>
  <si>
    <t>HanDigital</t>
  </si>
  <si>
    <t>Secondary citing Naukri, indicative only</t>
  </si>
  <si>
    <t>https://www.handigital.com/?p=11534</t>
  </si>
  <si>
    <t>S9</t>
  </si>
  <si>
    <t>ServiceNow India: 71 open jobs, plans to double India team (OFFICIAL)</t>
  </si>
  <si>
    <t>ServiceNow Careers, India page</t>
  </si>
  <si>
    <t>Official, read directly</t>
  </si>
  <si>
    <t>S10</t>
  </si>
  <si>
    <t>Sarvam AI: 61 open positions, 30 engineering (OFFICIAL)</t>
  </si>
  <si>
    <t>Sarvam careers page</t>
  </si>
  <si>
    <t>Official, read via search snapshot</t>
  </si>
  <si>
    <t>S11</t>
  </si>
  <si>
    <t>Freshworks: 28 India openings, mostly senior (OFFICIAL ATS board)</t>
  </si>
  <si>
    <t>Freshworks on SmartRecruiters</t>
  </si>
  <si>
    <t>Official ATS, read via search snapshot</t>
  </si>
  <si>
    <t>S12</t>
  </si>
  <si>
    <t>Yellow.ai GenAI intern / early-career listings (weak)</t>
  </si>
  <si>
    <t>MyInternships, Cloud Soft Solutions</t>
  </si>
  <si>
    <t>Aggregator / training site, weak</t>
  </si>
  <si>
    <t>https://myinternships.in/job/yellow-ai-generative-ai-intern-bengaluru-5cd019</t>
  </si>
  <si>
    <t>S13</t>
  </si>
  <si>
    <t>Postman does not accept unsolicited agency resumes; current Bengaluru roles</t>
  </si>
  <si>
    <t>Built In Bengaluru job post</t>
  </si>
  <si>
    <t>Job posting text</t>
  </si>
  <si>
    <t>https://builtinbengaluru.in/job/senior-workday-recruiting-specialist/9026683</t>
  </si>
  <si>
    <t>S14</t>
  </si>
  <si>
    <t>Fractal Analytics: 68 jobs listed</t>
  </si>
  <si>
    <t>Indeed company page</t>
  </si>
  <si>
    <t>Aggregator, not official</t>
  </si>
  <si>
    <t>https://in.indeed.com/cmp/Fractal-Analytics/jobs</t>
  </si>
  <si>
    <t>S15</t>
  </si>
  <si>
    <t>Salesforce: about 1,400 jobs listed on careers site (global), India CoE expansion (OFFICIAL)</t>
  </si>
  <si>
    <t>Salesforce Careers</t>
  </si>
  <si>
    <t>https://careers.salesforce.com/en/jobs?page=59</t>
  </si>
  <si>
    <t>S16</t>
  </si>
  <si>
    <t>Razorpay: conflicting aggregator counts, Greenhouse ATS roles</t>
  </si>
  <si>
    <t>Autobound, Hirebase, Scoutify</t>
  </si>
  <si>
    <t>Aggregators, inconsistent</t>
  </si>
  <si>
    <t>https://www.autobound.ai/companies/razorpay/hiring</t>
  </si>
  <si>
    <t>S17</t>
  </si>
  <si>
    <t>Leena AI: few open roles, offices</t>
  </si>
  <si>
    <t>Scoutify, Built In</t>
  </si>
  <si>
    <t>Aggregators</t>
  </si>
  <si>
    <t>https://scoutify.com/companies/leena-ai</t>
  </si>
  <si>
    <t>S18</t>
  </si>
  <si>
    <t>Deloitte USI: ServiceNow and GenAI roles listed; 1,500+ India openings and 50,000 hiring plan (secondary)</t>
  </si>
  <si>
    <t>Deloitte USI careers portal; FACE Prep / Freshershunt; NRI Globe</t>
  </si>
  <si>
    <t>Official portal (listings); counts secondary</t>
  </si>
  <si>
    <t>https://usijobs.deloitte.com/careersUSI/SearchJobs/ai%20ml/</t>
  </si>
  <si>
    <t>S19</t>
  </si>
  <si>
    <t>Adobe: engineering and product jobs, Noida AI/ML roles (OFFICIAL)</t>
  </si>
  <si>
    <t>Adobe Careers</t>
  </si>
  <si>
    <t>S20</t>
  </si>
  <si>
    <t>Innovaccer: ~44 jobs, Noida on-site, apprentice roles</t>
  </si>
  <si>
    <t>Weekday job mirror, Greenhouse postings, Talentd</t>
  </si>
  <si>
    <t>Official ATS postings via mirror</t>
  </si>
  <si>
    <t>https://jobs.weekday.works/wkdywfxoec</t>
  </si>
  <si>
    <t>S21</t>
  </si>
  <si>
    <t>Cognizant plans 24,000-25,000 freshers in 2026 (CFO)</t>
  </si>
  <si>
    <t>Free Press Journal; Trak.in</t>
  </si>
  <si>
    <t>https://www.freepressjournal.in/amp/tech/cognizant-plans-to-hire-25000-freshers-in-2026-cfo-jatin-dalal-confirms</t>
  </si>
  <si>
    <t>S8</t>
  </si>
  <si>
    <t>ServiceNow developer demand at Accenture, Hyderabad</t>
  </si>
  <si>
    <t>Career.io listing</t>
  </si>
  <si>
    <t>Aggregator</t>
  </si>
  <si>
    <t>https://career.io/job/servicenow-developer-hyderabad-grow-your-staff-04b87560f7f212726cfd5d2495b450db</t>
  </si>
  <si>
    <t>Note: 25 companies still have no hiring evidence (not checked or nothing retrievable without a login). Searches for Zoho returned nothing current, so their signals stay blank rather than guessed. LinkedIn Jobs needs a login, so I could not read it.</t>
  </si>
  <si>
    <t>Talent Market Mapping &amp; Recruitment Research | Excel, LinkedIn, Desk Research</t>
  </si>
  <si>
    <t>Developed an Excel research database (company database, role-and-skills matrix, sample job order, sourcing strategy, insights) with standardised fields, filters, a weighted client-fit scoring model and role-specific LinkedIn Boolean search criteria.</t>
  </si>
  <si>
    <t>Prepared a market insights report identifying hiring patterns (selective large-IT-services hiring against rising AI demand, senior-skewed openings, agency-closed employers) and a research-led outreach approach for prospective clients.</t>
  </si>
  <si>
    <t>Interview honesty note: only 6 companies (ServiceNow, Sarvam AI, Freshworks, Salesforce, Deloitte, Adobe) were read from official careers pages or hiring boards. The rest of the verified set rests on news and job-board evidence, and the remaining companies have no hiring evidence yet. Say this plainly if asked.</t>
  </si>
  <si>
    <t>Hi [Name], I came across your [specific project] on [platform]. The way you handled [specific detail] stood out. I'm helping a fast-growing SaaS team in Delhi hire two GenAI engineers to take LLM features from prototype to production. Would you be open to a 10-minute chat about it? Happy to share the role details and compensation range up front.</t>
  </si>
  <si>
    <t>4. Funnel model</t>
  </si>
  <si>
    <t>Assumptions based on data scraped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</si>
</sst>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00"/>
    <numFmt numFmtId="166" formatCode="0.0"/>
  </numFmts>
  <fonts count="9" x14ac:knownFonts="1">
    <font>
      <sz val="11"/>
      <color theme="1"/>
      <name val="Calibri"/>
      <family val="2"/>
      <charset val="1"/>
    </font>
    <font>
      <b/>
      <sz val="14"/>
      <color rgb="FF1F3864"/>
      <name val="Arial"/>
      <charset val="1"/>
    </font>
    <font>
      <sz val="10"/>
      <name val="Arial"/>
      <charset val="1"/>
    </font>
    <font>
      <b/>
      <sz val="10"/>
      <name val="Arial"/>
      <charset val="1"/>
    </font>
    <font>
      <b/>
      <sz val="10"/>
      <color rgb="FFFFFFFF"/>
      <name val="Arial"/>
      <charset val="1"/>
    </font>
    <font>
      <sz val="10"/>
      <color rgb="FF0000FF"/>
      <name val="Arial"/>
      <charset val="1"/>
    </font>
    <font>
      <b/>
      <sz val="14"/>
      <color theme="3"/>
      <name val="Arial"/>
      <family val="2"/>
    </font>
    <font>
      <sz val="11"/>
      <color theme="3"/>
      <name val="Calibri"/>
      <family val="2"/>
      <charset val="1"/>
    </font>
    <font>
      <b/>
      <sz val="10"/>
      <name val="Arial"/>
      <family val="2"/>
    </font>
  </fonts>
  <fills count="5">
    <fill>
      <patternFill patternType="none"/>
    </fill>
    <fill>
      <patternFill patternType="gray125"/>
    </fill>
    <fill>
      <patternFill patternType="solid">
        <fgColor rgb="FFD9E1F2"/>
        <bgColor rgb="FFDAE3F3"/>
      </patternFill>
    </fill>
    <fill>
      <patternFill patternType="solid">
        <fgColor rgb="FF1F3864"/>
        <bgColor rgb="FF333333"/>
      </patternFill>
    </fill>
    <fill>
      <patternFill patternType="solid">
        <fgColor rgb="FFFFFF99"/>
        <bgColor rgb="FFF9F9F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2" fillId="0" borderId="0" xfId="0" applyFont="1" applyAlignment="1">
      <alignment vertical="top" wrapText="1"/>
    </xf>
    <xf numFmtId="0" fontId="2" fillId="0" borderId="1" xfId="0" applyFont="1" applyBorder="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3" borderId="1" xfId="0" applyFont="1" applyFill="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5" fillId="4" borderId="1" xfId="0" applyFont="1" applyFill="1" applyBorder="1" applyAlignment="1">
      <alignment horizontal="center" vertical="top" wrapText="1"/>
    </xf>
    <xf numFmtId="0" fontId="5" fillId="4" borderId="1" xfId="0" applyFont="1" applyFill="1" applyBorder="1" applyAlignment="1">
      <alignment vertical="top" wrapText="1"/>
    </xf>
    <xf numFmtId="164" fontId="5" fillId="4" borderId="1" xfId="0" applyNumberFormat="1" applyFont="1" applyFill="1" applyBorder="1" applyAlignment="1">
      <alignment vertical="top" wrapText="1"/>
    </xf>
    <xf numFmtId="2" fontId="2" fillId="0" borderId="1" xfId="0" applyNumberFormat="1" applyFont="1" applyBorder="1" applyAlignment="1">
      <alignment horizontal="center" vertical="top" wrapText="1"/>
    </xf>
    <xf numFmtId="165" fontId="2" fillId="0" borderId="1" xfId="0" applyNumberFormat="1" applyFont="1" applyBorder="1" applyAlignment="1">
      <alignment vertical="top" wrapText="1"/>
    </xf>
    <xf numFmtId="0" fontId="1" fillId="0" borderId="0" xfId="0" applyFont="1"/>
    <xf numFmtId="0" fontId="3" fillId="0" borderId="0" xfId="0" applyFont="1"/>
    <xf numFmtId="0" fontId="3" fillId="2" borderId="1" xfId="0" applyFont="1" applyFill="1" applyBorder="1" applyAlignment="1">
      <alignment vertical="top" wrapText="1"/>
    </xf>
    <xf numFmtId="0" fontId="3" fillId="2" borderId="1" xfId="0" applyFont="1" applyFill="1" applyBorder="1"/>
    <xf numFmtId="9" fontId="3" fillId="0" borderId="1" xfId="0" applyNumberFormat="1" applyFont="1" applyBorder="1" applyAlignment="1">
      <alignment horizontal="center" vertical="top" wrapText="1"/>
    </xf>
    <xf numFmtId="0" fontId="3" fillId="0" borderId="1" xfId="0" applyFont="1" applyBorder="1" applyAlignment="1">
      <alignment horizontal="center" vertical="top" wrapText="1"/>
    </xf>
    <xf numFmtId="0" fontId="2" fillId="0" borderId="0" xfId="0" applyFont="1"/>
    <xf numFmtId="0" fontId="2" fillId="0" borderId="1" xfId="0" applyFont="1" applyBorder="1"/>
    <xf numFmtId="0" fontId="5" fillId="0" borderId="1" xfId="0" applyFont="1" applyBorder="1" applyAlignment="1">
      <alignment horizontal="center" vertical="top" wrapText="1"/>
    </xf>
    <xf numFmtId="9" fontId="5" fillId="0" borderId="1" xfId="0" applyNumberFormat="1" applyFont="1" applyBorder="1" applyAlignment="1">
      <alignment horizontal="center" vertical="top" wrapText="1"/>
    </xf>
    <xf numFmtId="166" fontId="3" fillId="0" borderId="1" xfId="0" applyNumberFormat="1" applyFont="1" applyBorder="1" applyAlignment="1">
      <alignment horizontal="center" vertical="top" wrapText="1"/>
    </xf>
    <xf numFmtId="166" fontId="2" fillId="0" borderId="1" xfId="0" applyNumberFormat="1" applyFont="1" applyBorder="1" applyAlignment="1">
      <alignment horizontal="center" vertical="top" wrapText="1"/>
    </xf>
    <xf numFmtId="0" fontId="3" fillId="0" borderId="1" xfId="0" applyFont="1" applyBorder="1" applyAlignment="1">
      <alignment vertical="top" wrapText="1"/>
    </xf>
    <xf numFmtId="9" fontId="2" fillId="0" borderId="1" xfId="0" applyNumberFormat="1" applyFont="1" applyBorder="1" applyAlignment="1">
      <alignment horizontal="center" vertical="top" wrapText="1"/>
    </xf>
    <xf numFmtId="9" fontId="5" fillId="0" borderId="0" xfId="0" applyNumberFormat="1" applyFont="1"/>
    <xf numFmtId="9" fontId="3" fillId="0" borderId="0" xfId="0" applyNumberFormat="1" applyFont="1"/>
    <xf numFmtId="0" fontId="5" fillId="0" borderId="0" xfId="0" applyFont="1"/>
    <xf numFmtId="0" fontId="3" fillId="0" borderId="0" xfId="0" applyFont="1" applyAlignment="1">
      <alignment vertical="top" wrapText="1"/>
    </xf>
    <xf numFmtId="0" fontId="6" fillId="0" borderId="0" xfId="0" applyFont="1" applyAlignment="1">
      <alignment horizontal="center"/>
    </xf>
    <xf numFmtId="0" fontId="7" fillId="0" borderId="0" xfId="0" applyFont="1" applyAlignment="1">
      <alignment horizontal="center"/>
    </xf>
    <xf numFmtId="0" fontId="8" fillId="0" borderId="0" xfId="0" applyFont="1"/>
    <xf numFmtId="0" fontId="8" fillId="0" borderId="0" xfId="0" applyFont="1" applyFill="1" applyBorder="1" applyAlignment="1">
      <alignment horizontal="center" vertical="top" wrapText="1"/>
    </xf>
  </cellXfs>
  <cellStyles count="1">
    <cellStyle name="Normal" xfId="0" builtinId="0"/>
  </cellStyles>
  <dxfs count="3">
    <dxf>
      <fill>
        <patternFill>
          <bgColor rgb="FFDAE3F3"/>
        </patternFill>
      </fill>
    </dxf>
    <dxf>
      <fill>
        <patternFill>
          <bgColor rgb="FF8FAADC"/>
        </patternFill>
      </fill>
    </dxf>
    <dxf>
      <font>
        <b/>
        <color rgb="FFFFFFFF"/>
        <name val="Arial"/>
        <charset val="1"/>
      </font>
      <fill>
        <patternFill>
          <bgColor rgb="FF2F559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8FAADC"/>
      <rgbColor rgb="FF993366"/>
      <rgbColor rgb="FFF9F9F9"/>
      <rgbColor rgb="FFDAE3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Role demand: companies likely hiring</a:t>
            </a:r>
          </a:p>
        </c:rich>
      </c:tx>
      <c:overlay val="0"/>
      <c:spPr>
        <a:noFill/>
        <a:ln w="0">
          <a:noFill/>
        </a:ln>
      </c:spPr>
    </c:title>
    <c:autoTitleDeleted val="0"/>
    <c:plotArea>
      <c:layout/>
      <c:barChart>
        <c:barDir val="bar"/>
        <c:grouping val="clustered"/>
        <c:varyColors val="0"/>
        <c:ser>
          <c:idx val="0"/>
          <c:order val="0"/>
          <c:tx>
            <c:strRef>
              <c:f>Insights!$B$30</c:f>
              <c:strCache>
                <c:ptCount val="1"/>
                <c:pt idx="0">
                  <c:v># Companies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Insights!$A$31:$A$37</c:f>
              <c:strCache>
                <c:ptCount val="7"/>
                <c:pt idx="0">
                  <c:v>GenAI / LLM Engineer</c:v>
                </c:pt>
                <c:pt idx="1">
                  <c:v>ML Engineer / MLOps</c:v>
                </c:pt>
                <c:pt idx="2">
                  <c:v>Data Scientist</c:v>
                </c:pt>
                <c:pt idx="3">
                  <c:v>Data Engineer</c:v>
                </c:pt>
                <c:pt idx="4">
                  <c:v>ServiceNow Developer</c:v>
                </c:pt>
                <c:pt idx="5">
                  <c:v>AI Product Manager</c:v>
                </c:pt>
                <c:pt idx="6">
                  <c:v>Solutions Consultant / Pre-sales</c:v>
                </c:pt>
              </c:strCache>
            </c:strRef>
          </c:cat>
          <c:val>
            <c:numRef>
              <c:f>Insights!$B$31:$B$37</c:f>
              <c:numCache>
                <c:formatCode>General</c:formatCode>
                <c:ptCount val="7"/>
                <c:pt idx="0">
                  <c:v>38</c:v>
                </c:pt>
                <c:pt idx="1">
                  <c:v>39</c:v>
                </c:pt>
                <c:pt idx="2">
                  <c:v>25</c:v>
                </c:pt>
                <c:pt idx="3">
                  <c:v>27</c:v>
                </c:pt>
                <c:pt idx="4">
                  <c:v>10</c:v>
                </c:pt>
                <c:pt idx="5">
                  <c:v>24</c:v>
                </c:pt>
                <c:pt idx="6">
                  <c:v>23</c:v>
                </c:pt>
              </c:numCache>
            </c:numRef>
          </c:val>
          <c:extLst>
            <c:ext xmlns:c16="http://schemas.microsoft.com/office/drawing/2014/chart" uri="{C3380CC4-5D6E-409C-BE32-E72D297353CC}">
              <c16:uniqueId val="{00000000-7D1F-4367-98E4-EF96381A8AD0}"/>
            </c:ext>
          </c:extLst>
        </c:ser>
        <c:dLbls>
          <c:showLegendKey val="0"/>
          <c:showVal val="0"/>
          <c:showCatName val="0"/>
          <c:showSerName val="0"/>
          <c:showPercent val="0"/>
          <c:showBubbleSize val="0"/>
        </c:dLbls>
        <c:gapWidth val="150"/>
        <c:axId val="45937674"/>
        <c:axId val="82072729"/>
      </c:barChart>
      <c:catAx>
        <c:axId val="4593767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072729"/>
        <c:crosses val="autoZero"/>
        <c:auto val="1"/>
        <c:lblAlgn val="ctr"/>
        <c:lblOffset val="100"/>
        <c:noMultiLvlLbl val="0"/>
      </c:catAx>
      <c:valAx>
        <c:axId val="82072729"/>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93767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160560</xdr:rowOff>
    </xdr:from>
    <xdr:to>
      <xdr:col>15</xdr:col>
      <xdr:colOff>364680</xdr:colOff>
      <xdr:row>18</xdr:row>
      <xdr:rowOff>161640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zoomScaleNormal="100" workbookViewId="0"/>
  </sheetViews>
  <sheetFormatPr defaultColWidth="8.6640625" defaultRowHeight="14.4" x14ac:dyDescent="0.3"/>
  <cols>
    <col min="1" max="1" width="130" customWidth="1"/>
  </cols>
  <sheetData>
    <row r="1" spans="1:1" ht="17.399999999999999" x14ac:dyDescent="0.3">
      <c r="A1" s="3" t="s">
        <v>0</v>
      </c>
    </row>
    <row r="2" spans="1:1" x14ac:dyDescent="0.3">
      <c r="A2" s="4" t="s">
        <v>1</v>
      </c>
    </row>
    <row r="3" spans="1:1" x14ac:dyDescent="0.3">
      <c r="A3" s="4"/>
    </row>
    <row r="4" spans="1:1" x14ac:dyDescent="0.3">
      <c r="A4" s="5" t="s">
        <v>2</v>
      </c>
    </row>
    <row r="5" spans="1:1" x14ac:dyDescent="0.3">
      <c r="A5" s="4" t="s">
        <v>3</v>
      </c>
    </row>
    <row r="6" spans="1:1" x14ac:dyDescent="0.3">
      <c r="A6" s="4" t="s">
        <v>4</v>
      </c>
    </row>
    <row r="7" spans="1:1" x14ac:dyDescent="0.3">
      <c r="A7" s="4" t="s">
        <v>5</v>
      </c>
    </row>
    <row r="8" spans="1:1" x14ac:dyDescent="0.3">
      <c r="A8" s="4" t="s">
        <v>6</v>
      </c>
    </row>
    <row r="9" spans="1:1" x14ac:dyDescent="0.3">
      <c r="A9" s="4" t="s">
        <v>7</v>
      </c>
    </row>
    <row r="10" spans="1:1" x14ac:dyDescent="0.3">
      <c r="A10" s="4" t="s">
        <v>8</v>
      </c>
    </row>
    <row r="11" spans="1:1" x14ac:dyDescent="0.3">
      <c r="A11" s="4" t="s">
        <v>9</v>
      </c>
    </row>
    <row r="12" spans="1:1" x14ac:dyDescent="0.3">
      <c r="A12" s="4" t="s">
        <v>10</v>
      </c>
    </row>
    <row r="13" spans="1:1" x14ac:dyDescent="0.3">
      <c r="A13" s="4" t="s">
        <v>11</v>
      </c>
    </row>
    <row r="14" spans="1:1" x14ac:dyDescent="0.3">
      <c r="A14" s="4"/>
    </row>
    <row r="15" spans="1:1" x14ac:dyDescent="0.3">
      <c r="A15" s="5" t="s">
        <v>12</v>
      </c>
    </row>
    <row r="16" spans="1:1" x14ac:dyDescent="0.3">
      <c r="A16" s="4" t="s">
        <v>13</v>
      </c>
    </row>
    <row r="17" spans="1:1" x14ac:dyDescent="0.3">
      <c r="A17" s="4"/>
    </row>
    <row r="18" spans="1:1" x14ac:dyDescent="0.3">
      <c r="A18" s="5" t="s">
        <v>14</v>
      </c>
    </row>
    <row r="19" spans="1:1" ht="26.4" x14ac:dyDescent="0.3">
      <c r="A19" s="4" t="s">
        <v>15</v>
      </c>
    </row>
    <row r="20" spans="1:1" ht="52.8" x14ac:dyDescent="0.3">
      <c r="A20" s="4" t="s">
        <v>16</v>
      </c>
    </row>
    <row r="21" spans="1:1" ht="26.4" x14ac:dyDescent="0.3">
      <c r="A21" s="4" t="s">
        <v>17</v>
      </c>
    </row>
    <row r="22" spans="1:1" x14ac:dyDescent="0.3">
      <c r="A22" s="4" t="s">
        <v>18</v>
      </c>
    </row>
    <row r="23" spans="1:1" ht="26.4" x14ac:dyDescent="0.3">
      <c r="A23" s="4" t="s">
        <v>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5"/>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7" customWidth="1"/>
    <col min="2" max="2" width="22" customWidth="1"/>
    <col min="3" max="3" width="28" customWidth="1"/>
    <col min="4" max="4" width="22" customWidth="1"/>
    <col min="5" max="5" width="24" customWidth="1"/>
    <col min="6" max="6" width="14" customWidth="1"/>
    <col min="7" max="7" width="10" customWidth="1"/>
    <col min="8" max="8" width="20" customWidth="1"/>
    <col min="9" max="11" width="12" customWidth="1"/>
    <col min="12" max="12" width="26" customWidth="1"/>
    <col min="13" max="13" width="13" customWidth="1"/>
    <col min="14" max="15" width="8" customWidth="1"/>
    <col min="16" max="16" width="10" customWidth="1"/>
    <col min="17" max="17" width="11" customWidth="1"/>
    <col min="18" max="18" width="40" customWidth="1"/>
  </cols>
  <sheetData>
    <row r="1" spans="1:18" ht="43.5" customHeight="1" x14ac:dyDescent="0.3">
      <c r="A1" s="6" t="s">
        <v>20</v>
      </c>
      <c r="B1" s="6" t="s">
        <v>21</v>
      </c>
      <c r="C1" s="6" t="s">
        <v>22</v>
      </c>
      <c r="D1" s="6" t="s">
        <v>23</v>
      </c>
      <c r="E1" s="6" t="s">
        <v>24</v>
      </c>
      <c r="F1" s="6" t="s">
        <v>25</v>
      </c>
      <c r="G1" s="6" t="s">
        <v>26</v>
      </c>
      <c r="H1" s="6" t="s">
        <v>27</v>
      </c>
      <c r="I1" s="6" t="s">
        <v>28</v>
      </c>
      <c r="J1" s="6" t="s">
        <v>29</v>
      </c>
      <c r="K1" s="6" t="s">
        <v>30</v>
      </c>
      <c r="L1" s="6" t="s">
        <v>31</v>
      </c>
      <c r="M1" s="6" t="s">
        <v>32</v>
      </c>
      <c r="N1" s="6" t="s">
        <v>33</v>
      </c>
      <c r="O1" s="6" t="s">
        <v>34</v>
      </c>
      <c r="P1" s="6" t="s">
        <v>35</v>
      </c>
      <c r="Q1" s="6" t="s">
        <v>36</v>
      </c>
      <c r="R1" s="6" t="s">
        <v>37</v>
      </c>
    </row>
    <row r="2" spans="1:18" ht="66" x14ac:dyDescent="0.3">
      <c r="A2" s="7" t="s">
        <v>38</v>
      </c>
      <c r="B2" s="7" t="s">
        <v>39</v>
      </c>
      <c r="C2" s="7" t="s">
        <v>40</v>
      </c>
      <c r="D2" s="7" t="s">
        <v>41</v>
      </c>
      <c r="E2" s="7" t="s">
        <v>42</v>
      </c>
      <c r="F2" s="7" t="s">
        <v>43</v>
      </c>
      <c r="G2" s="7" t="s">
        <v>44</v>
      </c>
      <c r="H2" s="7" t="s">
        <v>45</v>
      </c>
      <c r="I2" s="8">
        <v>2</v>
      </c>
      <c r="J2" s="9">
        <v>5</v>
      </c>
      <c r="K2" s="9">
        <v>71</v>
      </c>
      <c r="L2" s="10" t="s">
        <v>46</v>
      </c>
      <c r="M2" s="11">
        <v>46320</v>
      </c>
      <c r="N2" s="8">
        <f>INDEX(Assumptions!$B$13:$B$15,MATCH(G2,Assumptions!$A$13:$A$15,0))</f>
        <v>5</v>
      </c>
      <c r="O2" s="8">
        <f t="shared" ref="O2:O45" si="0">ROUND(5*(LEN(H2)-LEN(SUBSTITUTE(H2,",",""))+1)/7,1)</f>
        <v>3.6</v>
      </c>
      <c r="P2" s="12">
        <f>ROUND(Assumptions!$B$4*N2+Assumptions!$B$5*O2+Assumptions!$B$6*I2+Assumptions!$B$7*IF(J2="",Assumptions!$B$9,J2),2)</f>
        <v>3.75</v>
      </c>
      <c r="Q2" s="13">
        <f t="shared" ref="Q2:Q45" si="1">P2+(200-ROW())/100000</f>
        <v>3.7519800000000001</v>
      </c>
      <c r="R2" s="7" t="s">
        <v>47</v>
      </c>
    </row>
    <row r="3" spans="1:18" ht="118.8" x14ac:dyDescent="0.3">
      <c r="A3" s="7" t="s">
        <v>48</v>
      </c>
      <c r="B3" s="7" t="s">
        <v>49</v>
      </c>
      <c r="C3" s="7" t="s">
        <v>50</v>
      </c>
      <c r="D3" s="7" t="s">
        <v>41</v>
      </c>
      <c r="E3" s="7" t="s">
        <v>51</v>
      </c>
      <c r="F3" s="7" t="s">
        <v>43</v>
      </c>
      <c r="G3" s="7" t="s">
        <v>44</v>
      </c>
      <c r="H3" s="7" t="s">
        <v>52</v>
      </c>
      <c r="I3" s="8">
        <v>2</v>
      </c>
      <c r="J3" s="9">
        <v>4</v>
      </c>
      <c r="K3" s="9"/>
      <c r="L3" s="10" t="s">
        <v>53</v>
      </c>
      <c r="M3" s="11">
        <v>46320</v>
      </c>
      <c r="N3" s="8">
        <f>INDEX(Assumptions!$B$13:$B$15,MATCH(G3,Assumptions!$A$13:$A$15,0))</f>
        <v>5</v>
      </c>
      <c r="O3" s="8">
        <f t="shared" si="0"/>
        <v>3.6</v>
      </c>
      <c r="P3" s="12">
        <f>ROUND(Assumptions!$B$4*N3+Assumptions!$B$5*O3+Assumptions!$B$6*I3+Assumptions!$B$7*IF(J3="",Assumptions!$B$9,J3),2)</f>
        <v>3.55</v>
      </c>
      <c r="Q3" s="13">
        <f t="shared" si="1"/>
        <v>3.5519699999999998</v>
      </c>
      <c r="R3" s="7" t="s">
        <v>54</v>
      </c>
    </row>
    <row r="4" spans="1:18" x14ac:dyDescent="0.3">
      <c r="A4" s="7" t="s">
        <v>55</v>
      </c>
      <c r="B4" s="7" t="s">
        <v>56</v>
      </c>
      <c r="C4" s="7" t="s">
        <v>57</v>
      </c>
      <c r="D4" s="7" t="s">
        <v>41</v>
      </c>
      <c r="E4" s="7" t="s">
        <v>58</v>
      </c>
      <c r="F4" s="7" t="s">
        <v>59</v>
      </c>
      <c r="G4" s="7" t="s">
        <v>44</v>
      </c>
      <c r="H4" s="7" t="s">
        <v>60</v>
      </c>
      <c r="I4" s="8">
        <v>2</v>
      </c>
      <c r="J4" s="9"/>
      <c r="K4" s="9"/>
      <c r="L4" s="10"/>
      <c r="M4" s="11"/>
      <c r="N4" s="8">
        <f>INDEX(Assumptions!$B$13:$B$15,MATCH(G4,Assumptions!$A$13:$A$15,0))</f>
        <v>5</v>
      </c>
      <c r="O4" s="8">
        <f t="shared" si="0"/>
        <v>3.6</v>
      </c>
      <c r="P4" s="12">
        <f>ROUND(Assumptions!$B$4*N4+Assumptions!$B$5*O4+Assumptions!$B$6*I4+Assumptions!$B$7*IF(J4="",Assumptions!$B$9,J4),2)</f>
        <v>3.35</v>
      </c>
      <c r="Q4" s="13">
        <f t="shared" si="1"/>
        <v>3.3519600000000001</v>
      </c>
      <c r="R4" s="7"/>
    </row>
    <row r="5" spans="1:18" x14ac:dyDescent="0.3">
      <c r="A5" s="7" t="s">
        <v>61</v>
      </c>
      <c r="B5" s="7" t="s">
        <v>62</v>
      </c>
      <c r="C5" s="7" t="s">
        <v>63</v>
      </c>
      <c r="D5" s="7" t="s">
        <v>41</v>
      </c>
      <c r="E5" s="7" t="s">
        <v>64</v>
      </c>
      <c r="F5" s="7" t="s">
        <v>59</v>
      </c>
      <c r="G5" s="7" t="s">
        <v>44</v>
      </c>
      <c r="H5" s="7" t="s">
        <v>65</v>
      </c>
      <c r="I5" s="8">
        <v>2</v>
      </c>
      <c r="J5" s="9"/>
      <c r="K5" s="9"/>
      <c r="L5" s="10"/>
      <c r="M5" s="11"/>
      <c r="N5" s="8">
        <f>INDEX(Assumptions!$B$13:$B$15,MATCH(G5,Assumptions!$A$13:$A$15,0))</f>
        <v>5</v>
      </c>
      <c r="O5" s="8">
        <f t="shared" si="0"/>
        <v>2.9</v>
      </c>
      <c r="P5" s="12">
        <f>ROUND(Assumptions!$B$4*N5+Assumptions!$B$5*O5+Assumptions!$B$6*I5+Assumptions!$B$7*IF(J5="",Assumptions!$B$9,J5),2)</f>
        <v>3.18</v>
      </c>
      <c r="Q5" s="13">
        <f t="shared" si="1"/>
        <v>3.1819500000000001</v>
      </c>
      <c r="R5" s="7"/>
    </row>
    <row r="6" spans="1:18" x14ac:dyDescent="0.3">
      <c r="A6" s="7" t="s">
        <v>66</v>
      </c>
      <c r="B6" s="7" t="s">
        <v>67</v>
      </c>
      <c r="C6" s="7" t="s">
        <v>68</v>
      </c>
      <c r="D6" s="7" t="s">
        <v>41</v>
      </c>
      <c r="E6" s="7" t="s">
        <v>69</v>
      </c>
      <c r="F6" s="7" t="s">
        <v>70</v>
      </c>
      <c r="G6" s="7" t="s">
        <v>44</v>
      </c>
      <c r="H6" s="7" t="s">
        <v>71</v>
      </c>
      <c r="I6" s="8">
        <v>2</v>
      </c>
      <c r="J6" s="9"/>
      <c r="K6" s="9"/>
      <c r="L6" s="10"/>
      <c r="M6" s="11"/>
      <c r="N6" s="8">
        <f>INDEX(Assumptions!$B$13:$B$15,MATCH(G6,Assumptions!$A$13:$A$15,0))</f>
        <v>5</v>
      </c>
      <c r="O6" s="8">
        <f t="shared" si="0"/>
        <v>2.9</v>
      </c>
      <c r="P6" s="12">
        <f>ROUND(Assumptions!$B$4*N6+Assumptions!$B$5*O6+Assumptions!$B$6*I6+Assumptions!$B$7*IF(J6="",Assumptions!$B$9,J6),2)</f>
        <v>3.18</v>
      </c>
      <c r="Q6" s="13">
        <f t="shared" si="1"/>
        <v>3.18194</v>
      </c>
      <c r="R6" s="7"/>
    </row>
    <row r="7" spans="1:18" ht="118.8" x14ac:dyDescent="0.3">
      <c r="A7" s="7" t="s">
        <v>72</v>
      </c>
      <c r="B7" s="7" t="s">
        <v>73</v>
      </c>
      <c r="C7" s="7" t="s">
        <v>74</v>
      </c>
      <c r="D7" s="7" t="s">
        <v>41</v>
      </c>
      <c r="E7" s="7" t="s">
        <v>75</v>
      </c>
      <c r="F7" s="7" t="s">
        <v>76</v>
      </c>
      <c r="G7" s="7" t="s">
        <v>44</v>
      </c>
      <c r="H7" s="7" t="s">
        <v>77</v>
      </c>
      <c r="I7" s="8">
        <v>2</v>
      </c>
      <c r="J7" s="9">
        <v>4</v>
      </c>
      <c r="K7" s="9"/>
      <c r="L7" s="10" t="s">
        <v>78</v>
      </c>
      <c r="M7" s="11">
        <v>46320</v>
      </c>
      <c r="N7" s="8">
        <f>INDEX(Assumptions!$B$13:$B$15,MATCH(G7,Assumptions!$A$13:$A$15,0))</f>
        <v>5</v>
      </c>
      <c r="O7" s="8">
        <f t="shared" si="0"/>
        <v>2.9</v>
      </c>
      <c r="P7" s="12">
        <f>ROUND(Assumptions!$B$4*N7+Assumptions!$B$5*O7+Assumptions!$B$6*I7+Assumptions!$B$7*IF(J7="",Assumptions!$B$9,J7),2)</f>
        <v>3.38</v>
      </c>
      <c r="Q7" s="13">
        <f t="shared" si="1"/>
        <v>3.3819300000000001</v>
      </c>
      <c r="R7" s="7" t="s">
        <v>79</v>
      </c>
    </row>
    <row r="8" spans="1:18" x14ac:dyDescent="0.3">
      <c r="A8" s="7" t="s">
        <v>80</v>
      </c>
      <c r="B8" s="7" t="s">
        <v>81</v>
      </c>
      <c r="C8" s="7" t="s">
        <v>82</v>
      </c>
      <c r="D8" s="7" t="s">
        <v>83</v>
      </c>
      <c r="E8" s="7" t="s">
        <v>84</v>
      </c>
      <c r="F8" s="7" t="s">
        <v>59</v>
      </c>
      <c r="G8" s="7" t="s">
        <v>44</v>
      </c>
      <c r="H8" s="7" t="s">
        <v>71</v>
      </c>
      <c r="I8" s="8">
        <v>2</v>
      </c>
      <c r="J8" s="9"/>
      <c r="K8" s="9"/>
      <c r="L8" s="10"/>
      <c r="M8" s="11"/>
      <c r="N8" s="8">
        <f>INDEX(Assumptions!$B$13:$B$15,MATCH(G8,Assumptions!$A$13:$A$15,0))</f>
        <v>5</v>
      </c>
      <c r="O8" s="8">
        <f t="shared" si="0"/>
        <v>2.9</v>
      </c>
      <c r="P8" s="12">
        <f>ROUND(Assumptions!$B$4*N8+Assumptions!$B$5*O8+Assumptions!$B$6*I8+Assumptions!$B$7*IF(J8="",Assumptions!$B$9,J8),2)</f>
        <v>3.18</v>
      </c>
      <c r="Q8" s="13">
        <f t="shared" si="1"/>
        <v>3.1819200000000003</v>
      </c>
      <c r="R8" s="7"/>
    </row>
    <row r="9" spans="1:18" x14ac:dyDescent="0.3">
      <c r="A9" s="7" t="s">
        <v>85</v>
      </c>
      <c r="B9" s="7" t="s">
        <v>86</v>
      </c>
      <c r="C9" s="7" t="s">
        <v>87</v>
      </c>
      <c r="D9" s="7" t="s">
        <v>41</v>
      </c>
      <c r="E9" s="7" t="s">
        <v>88</v>
      </c>
      <c r="F9" s="7" t="s">
        <v>43</v>
      </c>
      <c r="G9" s="7" t="s">
        <v>44</v>
      </c>
      <c r="H9" s="7" t="s">
        <v>52</v>
      </c>
      <c r="I9" s="8">
        <v>1</v>
      </c>
      <c r="J9" s="9"/>
      <c r="K9" s="9"/>
      <c r="L9" s="10"/>
      <c r="M9" s="11"/>
      <c r="N9" s="8">
        <f>INDEX(Assumptions!$B$13:$B$15,MATCH(G9,Assumptions!$A$13:$A$15,0))</f>
        <v>5</v>
      </c>
      <c r="O9" s="8">
        <f t="shared" si="0"/>
        <v>3.6</v>
      </c>
      <c r="P9" s="12">
        <f>ROUND(Assumptions!$B$4*N9+Assumptions!$B$5*O9+Assumptions!$B$6*I9+Assumptions!$B$7*IF(J9="",Assumptions!$B$9,J9),2)</f>
        <v>3.05</v>
      </c>
      <c r="Q9" s="13">
        <f t="shared" si="1"/>
        <v>3.0519099999999999</v>
      </c>
      <c r="R9" s="7" t="s">
        <v>89</v>
      </c>
    </row>
    <row r="10" spans="1:18" x14ac:dyDescent="0.3">
      <c r="A10" s="7" t="s">
        <v>90</v>
      </c>
      <c r="B10" s="7" t="s">
        <v>91</v>
      </c>
      <c r="C10" s="7" t="s">
        <v>87</v>
      </c>
      <c r="D10" s="7" t="s">
        <v>41</v>
      </c>
      <c r="E10" s="7" t="s">
        <v>92</v>
      </c>
      <c r="F10" s="7" t="s">
        <v>59</v>
      </c>
      <c r="G10" s="7" t="s">
        <v>44</v>
      </c>
      <c r="H10" s="7" t="s">
        <v>77</v>
      </c>
      <c r="I10" s="8">
        <v>1</v>
      </c>
      <c r="J10" s="9"/>
      <c r="K10" s="9"/>
      <c r="L10" s="10"/>
      <c r="M10" s="11"/>
      <c r="N10" s="8">
        <f>INDEX(Assumptions!$B$13:$B$15,MATCH(G10,Assumptions!$A$13:$A$15,0))</f>
        <v>5</v>
      </c>
      <c r="O10" s="8">
        <f t="shared" si="0"/>
        <v>2.9</v>
      </c>
      <c r="P10" s="12">
        <f>ROUND(Assumptions!$B$4*N10+Assumptions!$B$5*O10+Assumptions!$B$6*I10+Assumptions!$B$7*IF(J10="",Assumptions!$B$9,J10),2)</f>
        <v>2.88</v>
      </c>
      <c r="Q10" s="13">
        <f t="shared" si="1"/>
        <v>2.8818999999999999</v>
      </c>
      <c r="R10" s="7"/>
    </row>
    <row r="11" spans="1:18" ht="79.2" x14ac:dyDescent="0.3">
      <c r="A11" s="7" t="s">
        <v>93</v>
      </c>
      <c r="B11" s="7" t="s">
        <v>94</v>
      </c>
      <c r="C11" s="7" t="s">
        <v>95</v>
      </c>
      <c r="D11" s="7" t="s">
        <v>83</v>
      </c>
      <c r="E11" s="7" t="s">
        <v>96</v>
      </c>
      <c r="F11" s="7" t="s">
        <v>97</v>
      </c>
      <c r="G11" s="7" t="s">
        <v>98</v>
      </c>
      <c r="H11" s="7" t="s">
        <v>60</v>
      </c>
      <c r="I11" s="8">
        <v>3</v>
      </c>
      <c r="J11" s="9">
        <v>3</v>
      </c>
      <c r="K11" s="9">
        <v>28</v>
      </c>
      <c r="L11" s="10" t="s">
        <v>99</v>
      </c>
      <c r="M11" s="11">
        <v>46320</v>
      </c>
      <c r="N11" s="8">
        <f>INDEX(Assumptions!$B$13:$B$15,MATCH(G11,Assumptions!$A$13:$A$15,0))</f>
        <v>3</v>
      </c>
      <c r="O11" s="8">
        <f t="shared" si="0"/>
        <v>3.6</v>
      </c>
      <c r="P11" s="12">
        <f>ROUND(Assumptions!$B$4*N11+Assumptions!$B$5*O11+Assumptions!$B$6*I11+Assumptions!$B$7*IF(J11="",Assumptions!$B$9,J11),2)</f>
        <v>3.15</v>
      </c>
      <c r="Q11" s="13">
        <f t="shared" si="1"/>
        <v>3.1518899999999999</v>
      </c>
      <c r="R11" s="7" t="s">
        <v>100</v>
      </c>
    </row>
    <row r="12" spans="1:18" x14ac:dyDescent="0.3">
      <c r="A12" s="7" t="s">
        <v>101</v>
      </c>
      <c r="B12" s="7" t="s">
        <v>102</v>
      </c>
      <c r="C12" s="7" t="s">
        <v>103</v>
      </c>
      <c r="D12" s="7" t="s">
        <v>83</v>
      </c>
      <c r="E12" s="7" t="s">
        <v>104</v>
      </c>
      <c r="F12" s="7" t="s">
        <v>97</v>
      </c>
      <c r="G12" s="7" t="s">
        <v>44</v>
      </c>
      <c r="H12" s="7" t="s">
        <v>77</v>
      </c>
      <c r="I12" s="8">
        <v>1</v>
      </c>
      <c r="J12" s="9"/>
      <c r="K12" s="9"/>
      <c r="L12" s="10"/>
      <c r="M12" s="11"/>
      <c r="N12" s="8">
        <f>INDEX(Assumptions!$B$13:$B$15,MATCH(G12,Assumptions!$A$13:$A$15,0))</f>
        <v>5</v>
      </c>
      <c r="O12" s="8">
        <f t="shared" si="0"/>
        <v>2.9</v>
      </c>
      <c r="P12" s="12">
        <f>ROUND(Assumptions!$B$4*N12+Assumptions!$B$5*O12+Assumptions!$B$6*I12+Assumptions!$B$7*IF(J12="",Assumptions!$B$9,J12),2)</f>
        <v>2.88</v>
      </c>
      <c r="Q12" s="13">
        <f t="shared" si="1"/>
        <v>2.8818799999999998</v>
      </c>
      <c r="R12" s="7" t="s">
        <v>105</v>
      </c>
    </row>
    <row r="13" spans="1:18" ht="92.4" x14ac:dyDescent="0.3">
      <c r="A13" s="7" t="s">
        <v>106</v>
      </c>
      <c r="B13" s="7" t="s">
        <v>107</v>
      </c>
      <c r="C13" s="7" t="s">
        <v>108</v>
      </c>
      <c r="D13" s="7" t="s">
        <v>83</v>
      </c>
      <c r="E13" s="7" t="s">
        <v>51</v>
      </c>
      <c r="F13" s="7" t="s">
        <v>59</v>
      </c>
      <c r="G13" s="7" t="s">
        <v>98</v>
      </c>
      <c r="H13" s="7" t="s">
        <v>109</v>
      </c>
      <c r="I13" s="8">
        <v>1</v>
      </c>
      <c r="J13" s="9">
        <v>3</v>
      </c>
      <c r="K13" s="9"/>
      <c r="L13" s="10"/>
      <c r="M13" s="11">
        <v>46320</v>
      </c>
      <c r="N13" s="8">
        <f>INDEX(Assumptions!$B$13:$B$15,MATCH(G13,Assumptions!$A$13:$A$15,0))</f>
        <v>3</v>
      </c>
      <c r="O13" s="8">
        <f t="shared" si="0"/>
        <v>2.1</v>
      </c>
      <c r="P13" s="12">
        <f>ROUND(Assumptions!$B$4*N13+Assumptions!$B$5*O13+Assumptions!$B$6*I13+Assumptions!$B$7*IF(J13="",Assumptions!$B$9,J13),2)</f>
        <v>2.1800000000000002</v>
      </c>
      <c r="Q13" s="13">
        <f t="shared" si="1"/>
        <v>2.18187</v>
      </c>
      <c r="R13" s="7" t="s">
        <v>110</v>
      </c>
    </row>
    <row r="14" spans="1:18" x14ac:dyDescent="0.3">
      <c r="A14" s="7" t="s">
        <v>111</v>
      </c>
      <c r="B14" s="7" t="s">
        <v>112</v>
      </c>
      <c r="C14" s="7" t="s">
        <v>113</v>
      </c>
      <c r="D14" s="7" t="s">
        <v>83</v>
      </c>
      <c r="E14" s="7" t="s">
        <v>51</v>
      </c>
      <c r="F14" s="7" t="s">
        <v>97</v>
      </c>
      <c r="G14" s="7" t="s">
        <v>98</v>
      </c>
      <c r="H14" s="7" t="s">
        <v>114</v>
      </c>
      <c r="I14" s="8">
        <v>3</v>
      </c>
      <c r="J14" s="9"/>
      <c r="K14" s="9"/>
      <c r="L14" s="10"/>
      <c r="M14" s="11"/>
      <c r="N14" s="8">
        <f>INDEX(Assumptions!$B$13:$B$15,MATCH(G14,Assumptions!$A$13:$A$15,0))</f>
        <v>3</v>
      </c>
      <c r="O14" s="8">
        <f t="shared" si="0"/>
        <v>2.1</v>
      </c>
      <c r="P14" s="12">
        <f>ROUND(Assumptions!$B$4*N14+Assumptions!$B$5*O14+Assumptions!$B$6*I14+Assumptions!$B$7*IF(J14="",Assumptions!$B$9,J14),2)</f>
        <v>2.78</v>
      </c>
      <c r="Q14" s="13">
        <f t="shared" si="1"/>
        <v>2.78186</v>
      </c>
      <c r="R14" s="7"/>
    </row>
    <row r="15" spans="1:18" ht="92.4" x14ac:dyDescent="0.3">
      <c r="A15" s="7" t="s">
        <v>115</v>
      </c>
      <c r="B15" s="7" t="s">
        <v>116</v>
      </c>
      <c r="C15" s="7" t="s">
        <v>117</v>
      </c>
      <c r="D15" s="7" t="s">
        <v>83</v>
      </c>
      <c r="E15" s="7" t="s">
        <v>118</v>
      </c>
      <c r="F15" s="7" t="s">
        <v>59</v>
      </c>
      <c r="G15" s="7" t="s">
        <v>98</v>
      </c>
      <c r="H15" s="7" t="s">
        <v>119</v>
      </c>
      <c r="I15" s="8">
        <v>3</v>
      </c>
      <c r="J15" s="9">
        <v>3</v>
      </c>
      <c r="K15" s="9"/>
      <c r="L15" s="10"/>
      <c r="M15" s="11">
        <v>46320</v>
      </c>
      <c r="N15" s="8">
        <f>INDEX(Assumptions!$B$13:$B$15,MATCH(G15,Assumptions!$A$13:$A$15,0))</f>
        <v>3</v>
      </c>
      <c r="O15" s="8">
        <f t="shared" si="0"/>
        <v>2.9</v>
      </c>
      <c r="P15" s="12">
        <f>ROUND(Assumptions!$B$4*N15+Assumptions!$B$5*O15+Assumptions!$B$6*I15+Assumptions!$B$7*IF(J15="",Assumptions!$B$9,J15),2)</f>
        <v>2.98</v>
      </c>
      <c r="Q15" s="13">
        <f t="shared" si="1"/>
        <v>2.9818500000000001</v>
      </c>
      <c r="R15" s="7" t="s">
        <v>120</v>
      </c>
    </row>
    <row r="16" spans="1:18" x14ac:dyDescent="0.3">
      <c r="A16" s="7" t="s">
        <v>121</v>
      </c>
      <c r="B16" s="7" t="s">
        <v>122</v>
      </c>
      <c r="C16" s="7" t="s">
        <v>123</v>
      </c>
      <c r="D16" s="7" t="s">
        <v>83</v>
      </c>
      <c r="E16" s="7" t="s">
        <v>124</v>
      </c>
      <c r="F16" s="7" t="s">
        <v>43</v>
      </c>
      <c r="G16" s="7" t="s">
        <v>98</v>
      </c>
      <c r="H16" s="7" t="s">
        <v>125</v>
      </c>
      <c r="I16" s="8">
        <v>3</v>
      </c>
      <c r="J16" s="9"/>
      <c r="K16" s="9"/>
      <c r="L16" s="10"/>
      <c r="M16" s="11"/>
      <c r="N16" s="8">
        <f>INDEX(Assumptions!$B$13:$B$15,MATCH(G16,Assumptions!$A$13:$A$15,0))</f>
        <v>3</v>
      </c>
      <c r="O16" s="8">
        <f t="shared" si="0"/>
        <v>2.9</v>
      </c>
      <c r="P16" s="12">
        <f>ROUND(Assumptions!$B$4*N16+Assumptions!$B$5*O16+Assumptions!$B$6*I16+Assumptions!$B$7*IF(J16="",Assumptions!$B$9,J16),2)</f>
        <v>2.98</v>
      </c>
      <c r="Q16" s="13">
        <f t="shared" si="1"/>
        <v>2.98184</v>
      </c>
      <c r="R16" s="7"/>
    </row>
    <row r="17" spans="1:18" ht="92.4" x14ac:dyDescent="0.3">
      <c r="A17" s="7" t="s">
        <v>126</v>
      </c>
      <c r="B17" s="7" t="s">
        <v>127</v>
      </c>
      <c r="C17" s="7" t="s">
        <v>128</v>
      </c>
      <c r="D17" s="7" t="s">
        <v>129</v>
      </c>
      <c r="E17" s="7" t="s">
        <v>130</v>
      </c>
      <c r="F17" s="7" t="s">
        <v>59</v>
      </c>
      <c r="G17" s="7" t="s">
        <v>131</v>
      </c>
      <c r="H17" s="7" t="s">
        <v>132</v>
      </c>
      <c r="I17" s="8">
        <v>4</v>
      </c>
      <c r="J17" s="9">
        <v>2</v>
      </c>
      <c r="K17" s="9">
        <v>1</v>
      </c>
      <c r="L17" s="10"/>
      <c r="M17" s="11">
        <v>46320</v>
      </c>
      <c r="N17" s="8">
        <f>INDEX(Assumptions!$B$13:$B$15,MATCH(G17,Assumptions!$A$13:$A$15,0))</f>
        <v>2</v>
      </c>
      <c r="O17" s="8">
        <f t="shared" si="0"/>
        <v>2.9</v>
      </c>
      <c r="P17" s="12">
        <f>ROUND(Assumptions!$B$4*N17+Assumptions!$B$5*O17+Assumptions!$B$6*I17+Assumptions!$B$7*IF(J17="",Assumptions!$B$9,J17),2)</f>
        <v>2.83</v>
      </c>
      <c r="Q17" s="13">
        <f t="shared" si="1"/>
        <v>2.8318300000000001</v>
      </c>
      <c r="R17" s="7" t="s">
        <v>133</v>
      </c>
    </row>
    <row r="18" spans="1:18" x14ac:dyDescent="0.3">
      <c r="A18" s="7" t="s">
        <v>134</v>
      </c>
      <c r="B18" s="7" t="s">
        <v>135</v>
      </c>
      <c r="C18" s="7" t="s">
        <v>136</v>
      </c>
      <c r="D18" s="7" t="s">
        <v>83</v>
      </c>
      <c r="E18" s="7" t="s">
        <v>75</v>
      </c>
      <c r="F18" s="7" t="s">
        <v>59</v>
      </c>
      <c r="G18" s="7" t="s">
        <v>98</v>
      </c>
      <c r="H18" s="7" t="s">
        <v>132</v>
      </c>
      <c r="I18" s="8">
        <v>3</v>
      </c>
      <c r="J18" s="9"/>
      <c r="K18" s="9"/>
      <c r="L18" s="10"/>
      <c r="M18" s="11"/>
      <c r="N18" s="8">
        <f>INDEX(Assumptions!$B$13:$B$15,MATCH(G18,Assumptions!$A$13:$A$15,0))</f>
        <v>3</v>
      </c>
      <c r="O18" s="8">
        <f t="shared" si="0"/>
        <v>2.9</v>
      </c>
      <c r="P18" s="12">
        <f>ROUND(Assumptions!$B$4*N18+Assumptions!$B$5*O18+Assumptions!$B$6*I18+Assumptions!$B$7*IF(J18="",Assumptions!$B$9,J18),2)</f>
        <v>2.98</v>
      </c>
      <c r="Q18" s="13">
        <f t="shared" si="1"/>
        <v>2.9818199999999999</v>
      </c>
      <c r="R18" s="7"/>
    </row>
    <row r="19" spans="1:18" x14ac:dyDescent="0.3">
      <c r="A19" s="7" t="s">
        <v>137</v>
      </c>
      <c r="B19" s="7" t="s">
        <v>138</v>
      </c>
      <c r="C19" s="7" t="s">
        <v>139</v>
      </c>
      <c r="D19" s="7" t="s">
        <v>83</v>
      </c>
      <c r="E19" s="7" t="s">
        <v>140</v>
      </c>
      <c r="F19" s="7" t="s">
        <v>141</v>
      </c>
      <c r="G19" s="7" t="s">
        <v>98</v>
      </c>
      <c r="H19" s="7" t="s">
        <v>114</v>
      </c>
      <c r="I19" s="8">
        <v>3</v>
      </c>
      <c r="J19" s="9"/>
      <c r="K19" s="9"/>
      <c r="L19" s="10"/>
      <c r="M19" s="11"/>
      <c r="N19" s="8">
        <f>INDEX(Assumptions!$B$13:$B$15,MATCH(G19,Assumptions!$A$13:$A$15,0))</f>
        <v>3</v>
      </c>
      <c r="O19" s="8">
        <f t="shared" si="0"/>
        <v>2.1</v>
      </c>
      <c r="P19" s="12">
        <f>ROUND(Assumptions!$B$4*N19+Assumptions!$B$5*O19+Assumptions!$B$6*I19+Assumptions!$B$7*IF(J19="",Assumptions!$B$9,J19),2)</f>
        <v>2.78</v>
      </c>
      <c r="Q19" s="13">
        <f t="shared" si="1"/>
        <v>2.7818099999999997</v>
      </c>
      <c r="R19" s="7"/>
    </row>
    <row r="20" spans="1:18" x14ac:dyDescent="0.3">
      <c r="A20" s="7" t="s">
        <v>142</v>
      </c>
      <c r="B20" s="7" t="s">
        <v>143</v>
      </c>
      <c r="C20" s="7" t="s">
        <v>144</v>
      </c>
      <c r="D20" s="7" t="s">
        <v>83</v>
      </c>
      <c r="E20" s="7" t="s">
        <v>145</v>
      </c>
      <c r="F20" s="7" t="s">
        <v>141</v>
      </c>
      <c r="G20" s="7" t="s">
        <v>131</v>
      </c>
      <c r="H20" s="7" t="s">
        <v>146</v>
      </c>
      <c r="I20" s="8">
        <v>3</v>
      </c>
      <c r="J20" s="9"/>
      <c r="K20" s="9"/>
      <c r="L20" s="10"/>
      <c r="M20" s="11"/>
      <c r="N20" s="8">
        <f>INDEX(Assumptions!$B$13:$B$15,MATCH(G20,Assumptions!$A$13:$A$15,0))</f>
        <v>2</v>
      </c>
      <c r="O20" s="8">
        <f t="shared" si="0"/>
        <v>2.1</v>
      </c>
      <c r="P20" s="12">
        <f>ROUND(Assumptions!$B$4*N20+Assumptions!$B$5*O20+Assumptions!$B$6*I20+Assumptions!$B$7*IF(J20="",Assumptions!$B$9,J20),2)</f>
        <v>2.5299999999999998</v>
      </c>
      <c r="Q20" s="13">
        <f t="shared" si="1"/>
        <v>2.5317999999999996</v>
      </c>
      <c r="R20" s="7"/>
    </row>
    <row r="21" spans="1:18" x14ac:dyDescent="0.3">
      <c r="A21" s="7" t="s">
        <v>147</v>
      </c>
      <c r="B21" s="7" t="s">
        <v>148</v>
      </c>
      <c r="C21" s="7" t="s">
        <v>144</v>
      </c>
      <c r="D21" s="7" t="s">
        <v>83</v>
      </c>
      <c r="E21" s="7" t="s">
        <v>149</v>
      </c>
      <c r="F21" s="7" t="s">
        <v>59</v>
      </c>
      <c r="G21" s="7" t="s">
        <v>98</v>
      </c>
      <c r="H21" s="7" t="s">
        <v>150</v>
      </c>
      <c r="I21" s="8">
        <v>3</v>
      </c>
      <c r="J21" s="9"/>
      <c r="K21" s="9"/>
      <c r="L21" s="10"/>
      <c r="M21" s="11"/>
      <c r="N21" s="8">
        <f>INDEX(Assumptions!$B$13:$B$15,MATCH(G21,Assumptions!$A$13:$A$15,0))</f>
        <v>3</v>
      </c>
      <c r="O21" s="8">
        <f t="shared" si="0"/>
        <v>2.9</v>
      </c>
      <c r="P21" s="12">
        <f>ROUND(Assumptions!$B$4*N21+Assumptions!$B$5*O21+Assumptions!$B$6*I21+Assumptions!$B$7*IF(J21="",Assumptions!$B$9,J21),2)</f>
        <v>2.98</v>
      </c>
      <c r="Q21" s="13">
        <f t="shared" si="1"/>
        <v>2.9817900000000002</v>
      </c>
      <c r="R21" s="7"/>
    </row>
    <row r="22" spans="1:18" ht="105.6" x14ac:dyDescent="0.3">
      <c r="A22" s="7" t="s">
        <v>151</v>
      </c>
      <c r="B22" s="7" t="s">
        <v>152</v>
      </c>
      <c r="C22" s="7" t="s">
        <v>153</v>
      </c>
      <c r="D22" s="7" t="s">
        <v>154</v>
      </c>
      <c r="E22" s="7" t="s">
        <v>51</v>
      </c>
      <c r="F22" s="7" t="s">
        <v>76</v>
      </c>
      <c r="G22" s="7" t="s">
        <v>98</v>
      </c>
      <c r="H22" s="7" t="s">
        <v>155</v>
      </c>
      <c r="I22" s="8">
        <v>3</v>
      </c>
      <c r="J22" s="9">
        <v>4</v>
      </c>
      <c r="K22" s="9">
        <v>44</v>
      </c>
      <c r="L22" s="10"/>
      <c r="M22" s="11">
        <v>46320</v>
      </c>
      <c r="N22" s="8">
        <f>INDEX(Assumptions!$B$13:$B$15,MATCH(G22,Assumptions!$A$13:$A$15,0))</f>
        <v>3</v>
      </c>
      <c r="O22" s="8">
        <f t="shared" si="0"/>
        <v>3.6</v>
      </c>
      <c r="P22" s="12">
        <f>ROUND(Assumptions!$B$4*N22+Assumptions!$B$5*O22+Assumptions!$B$6*I22+Assumptions!$B$7*IF(J22="",Assumptions!$B$9,J22),2)</f>
        <v>3.35</v>
      </c>
      <c r="Q22" s="13">
        <f t="shared" si="1"/>
        <v>3.3517800000000002</v>
      </c>
      <c r="R22" s="7" t="s">
        <v>156</v>
      </c>
    </row>
    <row r="23" spans="1:18" x14ac:dyDescent="0.3">
      <c r="A23" s="7" t="s">
        <v>157</v>
      </c>
      <c r="B23" s="7" t="s">
        <v>158</v>
      </c>
      <c r="C23" s="7" t="s">
        <v>159</v>
      </c>
      <c r="D23" s="7" t="s">
        <v>154</v>
      </c>
      <c r="E23" s="7" t="s">
        <v>160</v>
      </c>
      <c r="F23" s="7" t="s">
        <v>97</v>
      </c>
      <c r="G23" s="7" t="s">
        <v>98</v>
      </c>
      <c r="H23" s="7" t="s">
        <v>77</v>
      </c>
      <c r="I23" s="8">
        <v>3</v>
      </c>
      <c r="J23" s="9"/>
      <c r="K23" s="9"/>
      <c r="L23" s="10"/>
      <c r="M23" s="11"/>
      <c r="N23" s="8">
        <f>INDEX(Assumptions!$B$13:$B$15,MATCH(G23,Assumptions!$A$13:$A$15,0))</f>
        <v>3</v>
      </c>
      <c r="O23" s="8">
        <f t="shared" si="0"/>
        <v>2.9</v>
      </c>
      <c r="P23" s="12">
        <f>ROUND(Assumptions!$B$4*N23+Assumptions!$B$5*O23+Assumptions!$B$6*I23+Assumptions!$B$7*IF(J23="",Assumptions!$B$9,J23),2)</f>
        <v>2.98</v>
      </c>
      <c r="Q23" s="13">
        <f t="shared" si="1"/>
        <v>2.98177</v>
      </c>
      <c r="R23" s="7"/>
    </row>
    <row r="24" spans="1:18" x14ac:dyDescent="0.3">
      <c r="A24" s="7" t="s">
        <v>161</v>
      </c>
      <c r="B24" s="7" t="s">
        <v>162</v>
      </c>
      <c r="C24" s="7" t="s">
        <v>163</v>
      </c>
      <c r="D24" s="7" t="s">
        <v>154</v>
      </c>
      <c r="E24" s="7" t="s">
        <v>51</v>
      </c>
      <c r="F24" s="7" t="s">
        <v>59</v>
      </c>
      <c r="G24" s="7" t="s">
        <v>131</v>
      </c>
      <c r="H24" s="7" t="s">
        <v>77</v>
      </c>
      <c r="I24" s="8">
        <v>4</v>
      </c>
      <c r="J24" s="9"/>
      <c r="K24" s="9"/>
      <c r="L24" s="10"/>
      <c r="M24" s="11"/>
      <c r="N24" s="8">
        <f>INDEX(Assumptions!$B$13:$B$15,MATCH(G24,Assumptions!$A$13:$A$15,0))</f>
        <v>2</v>
      </c>
      <c r="O24" s="8">
        <f t="shared" si="0"/>
        <v>2.9</v>
      </c>
      <c r="P24" s="12">
        <f>ROUND(Assumptions!$B$4*N24+Assumptions!$B$5*O24+Assumptions!$B$6*I24+Assumptions!$B$7*IF(J24="",Assumptions!$B$9,J24),2)</f>
        <v>3.03</v>
      </c>
      <c r="Q24" s="13">
        <f t="shared" si="1"/>
        <v>3.0317599999999998</v>
      </c>
      <c r="R24" s="7"/>
    </row>
    <row r="25" spans="1:18" ht="52.8" x14ac:dyDescent="0.3">
      <c r="A25" s="7" t="s">
        <v>164</v>
      </c>
      <c r="B25" s="7" t="s">
        <v>165</v>
      </c>
      <c r="C25" s="7" t="s">
        <v>166</v>
      </c>
      <c r="D25" s="7" t="s">
        <v>154</v>
      </c>
      <c r="E25" s="7" t="s">
        <v>51</v>
      </c>
      <c r="F25" s="7" t="s">
        <v>59</v>
      </c>
      <c r="G25" s="7" t="s">
        <v>98</v>
      </c>
      <c r="H25" s="7" t="s">
        <v>132</v>
      </c>
      <c r="I25" s="8">
        <v>4</v>
      </c>
      <c r="J25" s="9">
        <v>3</v>
      </c>
      <c r="K25" s="9"/>
      <c r="L25" s="10" t="s">
        <v>167</v>
      </c>
      <c r="M25" s="11">
        <v>46320</v>
      </c>
      <c r="N25" s="8">
        <f>INDEX(Assumptions!$B$13:$B$15,MATCH(G25,Assumptions!$A$13:$A$15,0))</f>
        <v>3</v>
      </c>
      <c r="O25" s="8">
        <f t="shared" si="0"/>
        <v>2.9</v>
      </c>
      <c r="P25" s="12">
        <f>ROUND(Assumptions!$B$4*N25+Assumptions!$B$5*O25+Assumptions!$B$6*I25+Assumptions!$B$7*IF(J25="",Assumptions!$B$9,J25),2)</f>
        <v>3.28</v>
      </c>
      <c r="Q25" s="13">
        <f t="shared" si="1"/>
        <v>3.2817499999999997</v>
      </c>
      <c r="R25" s="7" t="s">
        <v>168</v>
      </c>
    </row>
    <row r="26" spans="1:18" x14ac:dyDescent="0.3">
      <c r="A26" s="7" t="s">
        <v>169</v>
      </c>
      <c r="B26" s="7" t="s">
        <v>170</v>
      </c>
      <c r="C26" s="7" t="s">
        <v>171</v>
      </c>
      <c r="D26" s="7" t="s">
        <v>83</v>
      </c>
      <c r="E26" s="7" t="s">
        <v>51</v>
      </c>
      <c r="F26" s="7" t="s">
        <v>59</v>
      </c>
      <c r="G26" s="7" t="s">
        <v>98</v>
      </c>
      <c r="H26" s="7" t="s">
        <v>172</v>
      </c>
      <c r="I26" s="8">
        <v>4</v>
      </c>
      <c r="J26" s="9"/>
      <c r="K26" s="9"/>
      <c r="L26" s="10"/>
      <c r="M26" s="11"/>
      <c r="N26" s="8">
        <f>INDEX(Assumptions!$B$13:$B$15,MATCH(G26,Assumptions!$A$13:$A$15,0))</f>
        <v>3</v>
      </c>
      <c r="O26" s="8">
        <f t="shared" si="0"/>
        <v>2.1</v>
      </c>
      <c r="P26" s="12">
        <f>ROUND(Assumptions!$B$4*N26+Assumptions!$B$5*O26+Assumptions!$B$6*I26+Assumptions!$B$7*IF(J26="",Assumptions!$B$9,J26),2)</f>
        <v>3.08</v>
      </c>
      <c r="Q26" s="13">
        <f t="shared" si="1"/>
        <v>3.0817399999999999</v>
      </c>
      <c r="R26" s="7"/>
    </row>
    <row r="27" spans="1:18" x14ac:dyDescent="0.3">
      <c r="A27" s="7" t="s">
        <v>173</v>
      </c>
      <c r="B27" s="7" t="s">
        <v>174</v>
      </c>
      <c r="C27" s="7" t="s">
        <v>175</v>
      </c>
      <c r="D27" s="7" t="s">
        <v>83</v>
      </c>
      <c r="E27" s="7" t="s">
        <v>176</v>
      </c>
      <c r="F27" s="7" t="s">
        <v>76</v>
      </c>
      <c r="G27" s="7" t="s">
        <v>98</v>
      </c>
      <c r="H27" s="7" t="s">
        <v>77</v>
      </c>
      <c r="I27" s="8">
        <v>3</v>
      </c>
      <c r="J27" s="9"/>
      <c r="K27" s="9"/>
      <c r="L27" s="10"/>
      <c r="M27" s="11"/>
      <c r="N27" s="8">
        <f>INDEX(Assumptions!$B$13:$B$15,MATCH(G27,Assumptions!$A$13:$A$15,0))</f>
        <v>3</v>
      </c>
      <c r="O27" s="8">
        <f t="shared" si="0"/>
        <v>2.9</v>
      </c>
      <c r="P27" s="12">
        <f>ROUND(Assumptions!$B$4*N27+Assumptions!$B$5*O27+Assumptions!$B$6*I27+Assumptions!$B$7*IF(J27="",Assumptions!$B$9,J27),2)</f>
        <v>2.98</v>
      </c>
      <c r="Q27" s="13">
        <f t="shared" si="1"/>
        <v>2.9817299999999998</v>
      </c>
      <c r="R27" s="7"/>
    </row>
    <row r="28" spans="1:18" ht="79.2" x14ac:dyDescent="0.3">
      <c r="A28" s="7" t="s">
        <v>177</v>
      </c>
      <c r="B28" s="7" t="s">
        <v>178</v>
      </c>
      <c r="C28" s="7" t="s">
        <v>179</v>
      </c>
      <c r="D28" s="7" t="s">
        <v>129</v>
      </c>
      <c r="E28" s="7" t="s">
        <v>118</v>
      </c>
      <c r="F28" s="7" t="s">
        <v>59</v>
      </c>
      <c r="G28" s="7" t="s">
        <v>131</v>
      </c>
      <c r="H28" s="7" t="s">
        <v>180</v>
      </c>
      <c r="I28" s="8">
        <v>4</v>
      </c>
      <c r="J28" s="9">
        <v>5</v>
      </c>
      <c r="K28" s="9">
        <v>61</v>
      </c>
      <c r="L28" s="10" t="s">
        <v>181</v>
      </c>
      <c r="M28" s="11">
        <v>46320</v>
      </c>
      <c r="N28" s="8">
        <f>INDEX(Assumptions!$B$13:$B$15,MATCH(G28,Assumptions!$A$13:$A$15,0))</f>
        <v>2</v>
      </c>
      <c r="O28" s="8">
        <f t="shared" si="0"/>
        <v>2.1</v>
      </c>
      <c r="P28" s="12">
        <f>ROUND(Assumptions!$B$4*N28+Assumptions!$B$5*O28+Assumptions!$B$6*I28+Assumptions!$B$7*IF(J28="",Assumptions!$B$9,J28),2)</f>
        <v>3.23</v>
      </c>
      <c r="Q28" s="13">
        <f t="shared" si="1"/>
        <v>3.2317200000000001</v>
      </c>
      <c r="R28" s="7" t="s">
        <v>182</v>
      </c>
    </row>
    <row r="29" spans="1:18" x14ac:dyDescent="0.3">
      <c r="A29" s="7" t="s">
        <v>183</v>
      </c>
      <c r="B29" s="7" t="s">
        <v>184</v>
      </c>
      <c r="C29" s="7" t="s">
        <v>185</v>
      </c>
      <c r="D29" s="7" t="s">
        <v>129</v>
      </c>
      <c r="E29" s="7" t="s">
        <v>118</v>
      </c>
      <c r="F29" s="7" t="s">
        <v>59</v>
      </c>
      <c r="G29" s="7" t="s">
        <v>98</v>
      </c>
      <c r="H29" s="7" t="s">
        <v>172</v>
      </c>
      <c r="I29" s="8">
        <v>4</v>
      </c>
      <c r="J29" s="9"/>
      <c r="K29" s="9"/>
      <c r="L29" s="10"/>
      <c r="M29" s="11"/>
      <c r="N29" s="8">
        <f>INDEX(Assumptions!$B$13:$B$15,MATCH(G29,Assumptions!$A$13:$A$15,0))</f>
        <v>3</v>
      </c>
      <c r="O29" s="8">
        <f t="shared" si="0"/>
        <v>2.1</v>
      </c>
      <c r="P29" s="12">
        <f>ROUND(Assumptions!$B$4*N29+Assumptions!$B$5*O29+Assumptions!$B$6*I29+Assumptions!$B$7*IF(J29="",Assumptions!$B$9,J29),2)</f>
        <v>3.08</v>
      </c>
      <c r="Q29" s="13">
        <f t="shared" si="1"/>
        <v>3.0817100000000002</v>
      </c>
      <c r="R29" s="7"/>
    </row>
    <row r="30" spans="1:18" x14ac:dyDescent="0.3">
      <c r="A30" s="7" t="s">
        <v>186</v>
      </c>
      <c r="B30" s="7" t="s">
        <v>187</v>
      </c>
      <c r="C30" s="7" t="s">
        <v>188</v>
      </c>
      <c r="D30" s="7" t="s">
        <v>129</v>
      </c>
      <c r="E30" s="7" t="s">
        <v>118</v>
      </c>
      <c r="F30" s="7" t="s">
        <v>59</v>
      </c>
      <c r="G30" s="7" t="s">
        <v>131</v>
      </c>
      <c r="H30" s="7" t="s">
        <v>180</v>
      </c>
      <c r="I30" s="8">
        <v>4</v>
      </c>
      <c r="J30" s="9"/>
      <c r="K30" s="9"/>
      <c r="L30" s="10"/>
      <c r="M30" s="11"/>
      <c r="N30" s="8">
        <f>INDEX(Assumptions!$B$13:$B$15,MATCH(G30,Assumptions!$A$13:$A$15,0))</f>
        <v>2</v>
      </c>
      <c r="O30" s="8">
        <f t="shared" si="0"/>
        <v>2.1</v>
      </c>
      <c r="P30" s="12">
        <f>ROUND(Assumptions!$B$4*N30+Assumptions!$B$5*O30+Assumptions!$B$6*I30+Assumptions!$B$7*IF(J30="",Assumptions!$B$9,J30),2)</f>
        <v>2.83</v>
      </c>
      <c r="Q30" s="13">
        <f t="shared" si="1"/>
        <v>2.8317000000000001</v>
      </c>
      <c r="R30" s="7"/>
    </row>
    <row r="31" spans="1:18" x14ac:dyDescent="0.3">
      <c r="A31" s="7" t="s">
        <v>189</v>
      </c>
      <c r="B31" s="7" t="s">
        <v>190</v>
      </c>
      <c r="C31" s="7" t="s">
        <v>166</v>
      </c>
      <c r="D31" s="7" t="s">
        <v>129</v>
      </c>
      <c r="E31" s="7" t="s">
        <v>191</v>
      </c>
      <c r="F31" s="7" t="s">
        <v>141</v>
      </c>
      <c r="G31" s="7" t="s">
        <v>131</v>
      </c>
      <c r="H31" s="7" t="s">
        <v>192</v>
      </c>
      <c r="I31" s="8">
        <v>4</v>
      </c>
      <c r="J31" s="9"/>
      <c r="K31" s="9"/>
      <c r="L31" s="10"/>
      <c r="M31" s="11"/>
      <c r="N31" s="8">
        <f>INDEX(Assumptions!$B$13:$B$15,MATCH(G31,Assumptions!$A$13:$A$15,0))</f>
        <v>2</v>
      </c>
      <c r="O31" s="8">
        <f t="shared" si="0"/>
        <v>2.1</v>
      </c>
      <c r="P31" s="12">
        <f>ROUND(Assumptions!$B$4*N31+Assumptions!$B$5*O31+Assumptions!$B$6*I31+Assumptions!$B$7*IF(J31="",Assumptions!$B$9,J31),2)</f>
        <v>2.83</v>
      </c>
      <c r="Q31" s="13">
        <f t="shared" si="1"/>
        <v>2.83169</v>
      </c>
      <c r="R31" s="7"/>
    </row>
    <row r="32" spans="1:18" ht="79.2" x14ac:dyDescent="0.3">
      <c r="A32" s="7" t="s">
        <v>193</v>
      </c>
      <c r="B32" s="7" t="s">
        <v>194</v>
      </c>
      <c r="C32" s="7" t="s">
        <v>195</v>
      </c>
      <c r="D32" s="7" t="s">
        <v>196</v>
      </c>
      <c r="E32" s="7" t="s">
        <v>191</v>
      </c>
      <c r="F32" s="7" t="s">
        <v>141</v>
      </c>
      <c r="G32" s="7" t="s">
        <v>98</v>
      </c>
      <c r="H32" s="7" t="s">
        <v>197</v>
      </c>
      <c r="I32" s="8">
        <v>3</v>
      </c>
      <c r="J32" s="9">
        <v>4</v>
      </c>
      <c r="K32" s="9">
        <v>68</v>
      </c>
      <c r="L32" s="10"/>
      <c r="M32" s="11">
        <v>46320</v>
      </c>
      <c r="N32" s="8">
        <f>INDEX(Assumptions!$B$13:$B$15,MATCH(G32,Assumptions!$A$13:$A$15,0))</f>
        <v>3</v>
      </c>
      <c r="O32" s="8">
        <f t="shared" si="0"/>
        <v>4.3</v>
      </c>
      <c r="P32" s="12">
        <f>ROUND(Assumptions!$B$4*N32+Assumptions!$B$5*O32+Assumptions!$B$6*I32+Assumptions!$B$7*IF(J32="",Assumptions!$B$9,J32),2)</f>
        <v>3.53</v>
      </c>
      <c r="Q32" s="13">
        <f t="shared" si="1"/>
        <v>3.5316799999999997</v>
      </c>
      <c r="R32" s="7" t="s">
        <v>198</v>
      </c>
    </row>
    <row r="33" spans="1:18" x14ac:dyDescent="0.3">
      <c r="A33" s="7" t="s">
        <v>199</v>
      </c>
      <c r="B33" s="7" t="s">
        <v>200</v>
      </c>
      <c r="C33" s="7" t="s">
        <v>201</v>
      </c>
      <c r="D33" s="7" t="s">
        <v>196</v>
      </c>
      <c r="E33" s="7" t="s">
        <v>42</v>
      </c>
      <c r="F33" s="7" t="s">
        <v>97</v>
      </c>
      <c r="G33" s="7" t="s">
        <v>98</v>
      </c>
      <c r="H33" s="7" t="s">
        <v>202</v>
      </c>
      <c r="I33" s="8">
        <v>4</v>
      </c>
      <c r="J33" s="9"/>
      <c r="K33" s="9"/>
      <c r="L33" s="10"/>
      <c r="M33" s="11"/>
      <c r="N33" s="8">
        <f>INDEX(Assumptions!$B$13:$B$15,MATCH(G33,Assumptions!$A$13:$A$15,0))</f>
        <v>3</v>
      </c>
      <c r="O33" s="8">
        <f t="shared" si="0"/>
        <v>2.9</v>
      </c>
      <c r="P33" s="12">
        <f>ROUND(Assumptions!$B$4*N33+Assumptions!$B$5*O33+Assumptions!$B$6*I33+Assumptions!$B$7*IF(J33="",Assumptions!$B$9,J33),2)</f>
        <v>3.28</v>
      </c>
      <c r="Q33" s="13">
        <f t="shared" si="1"/>
        <v>3.2816699999999996</v>
      </c>
      <c r="R33" s="7"/>
    </row>
    <row r="34" spans="1:18" x14ac:dyDescent="0.3">
      <c r="A34" s="7" t="s">
        <v>203</v>
      </c>
      <c r="B34" s="7" t="s">
        <v>204</v>
      </c>
      <c r="C34" s="7" t="s">
        <v>201</v>
      </c>
      <c r="D34" s="7" t="s">
        <v>196</v>
      </c>
      <c r="E34" s="7" t="s">
        <v>104</v>
      </c>
      <c r="F34" s="7" t="s">
        <v>97</v>
      </c>
      <c r="G34" s="7" t="s">
        <v>98</v>
      </c>
      <c r="H34" s="7" t="s">
        <v>205</v>
      </c>
      <c r="I34" s="8">
        <v>4</v>
      </c>
      <c r="J34" s="9"/>
      <c r="K34" s="9"/>
      <c r="L34" s="10"/>
      <c r="M34" s="11"/>
      <c r="N34" s="8">
        <f>INDEX(Assumptions!$B$13:$B$15,MATCH(G34,Assumptions!$A$13:$A$15,0))</f>
        <v>3</v>
      </c>
      <c r="O34" s="8">
        <f t="shared" si="0"/>
        <v>2.1</v>
      </c>
      <c r="P34" s="12">
        <f>ROUND(Assumptions!$B$4*N34+Assumptions!$B$5*O34+Assumptions!$B$6*I34+Assumptions!$B$7*IF(J34="",Assumptions!$B$9,J34),2)</f>
        <v>3.08</v>
      </c>
      <c r="Q34" s="13">
        <f t="shared" si="1"/>
        <v>3.0816600000000003</v>
      </c>
      <c r="R34" s="7"/>
    </row>
    <row r="35" spans="1:18" x14ac:dyDescent="0.3">
      <c r="A35" s="7" t="s">
        <v>206</v>
      </c>
      <c r="B35" s="7" t="s">
        <v>207</v>
      </c>
      <c r="C35" s="7" t="s">
        <v>195</v>
      </c>
      <c r="D35" s="7" t="s">
        <v>196</v>
      </c>
      <c r="E35" s="7" t="s">
        <v>75</v>
      </c>
      <c r="F35" s="7" t="s">
        <v>59</v>
      </c>
      <c r="G35" s="7" t="s">
        <v>98</v>
      </c>
      <c r="H35" s="7" t="s">
        <v>150</v>
      </c>
      <c r="I35" s="8">
        <v>4</v>
      </c>
      <c r="J35" s="9"/>
      <c r="K35" s="9"/>
      <c r="L35" s="10"/>
      <c r="M35" s="11"/>
      <c r="N35" s="8">
        <f>INDEX(Assumptions!$B$13:$B$15,MATCH(G35,Assumptions!$A$13:$A$15,0))</f>
        <v>3</v>
      </c>
      <c r="O35" s="8">
        <f t="shared" si="0"/>
        <v>2.9</v>
      </c>
      <c r="P35" s="12">
        <f>ROUND(Assumptions!$B$4*N35+Assumptions!$B$5*O35+Assumptions!$B$6*I35+Assumptions!$B$7*IF(J35="",Assumptions!$B$9,J35),2)</f>
        <v>3.28</v>
      </c>
      <c r="Q35" s="13">
        <f t="shared" si="1"/>
        <v>3.28165</v>
      </c>
      <c r="R35" s="7"/>
    </row>
    <row r="36" spans="1:18" ht="145.19999999999999" x14ac:dyDescent="0.3">
      <c r="A36" s="7" t="s">
        <v>208</v>
      </c>
      <c r="B36" s="7" t="s">
        <v>209</v>
      </c>
      <c r="C36" s="7" t="s">
        <v>210</v>
      </c>
      <c r="D36" s="7" t="s">
        <v>211</v>
      </c>
      <c r="E36" s="7" t="s">
        <v>212</v>
      </c>
      <c r="F36" s="7" t="s">
        <v>43</v>
      </c>
      <c r="G36" s="7" t="s">
        <v>44</v>
      </c>
      <c r="H36" s="7" t="s">
        <v>213</v>
      </c>
      <c r="I36" s="8">
        <v>3</v>
      </c>
      <c r="J36" s="9">
        <v>5</v>
      </c>
      <c r="K36" s="9">
        <v>1500</v>
      </c>
      <c r="L36" s="10" t="s">
        <v>214</v>
      </c>
      <c r="M36" s="11">
        <v>46320</v>
      </c>
      <c r="N36" s="8">
        <f>INDEX(Assumptions!$B$13:$B$15,MATCH(G36,Assumptions!$A$13:$A$15,0))</f>
        <v>5</v>
      </c>
      <c r="O36" s="8">
        <f t="shared" si="0"/>
        <v>3.6</v>
      </c>
      <c r="P36" s="12">
        <f>ROUND(Assumptions!$B$4*N36+Assumptions!$B$5*O36+Assumptions!$B$6*I36+Assumptions!$B$7*IF(J36="",Assumptions!$B$9,J36),2)</f>
        <v>4.05</v>
      </c>
      <c r="Q36" s="13">
        <f t="shared" si="1"/>
        <v>4.0516399999999999</v>
      </c>
      <c r="R36" s="7" t="s">
        <v>215</v>
      </c>
    </row>
    <row r="37" spans="1:18" ht="66" x14ac:dyDescent="0.3">
      <c r="A37" s="7" t="s">
        <v>216</v>
      </c>
      <c r="B37" s="7" t="s">
        <v>217</v>
      </c>
      <c r="C37" s="7" t="s">
        <v>218</v>
      </c>
      <c r="D37" s="7" t="s">
        <v>211</v>
      </c>
      <c r="E37" s="7" t="s">
        <v>219</v>
      </c>
      <c r="F37" s="7" t="s">
        <v>59</v>
      </c>
      <c r="G37" s="7" t="s">
        <v>44</v>
      </c>
      <c r="H37" s="7" t="s">
        <v>220</v>
      </c>
      <c r="I37" s="8">
        <v>3</v>
      </c>
      <c r="J37" s="9">
        <v>4</v>
      </c>
      <c r="K37" s="9">
        <v>3</v>
      </c>
      <c r="L37" s="10" t="s">
        <v>221</v>
      </c>
      <c r="M37" s="11">
        <v>46320</v>
      </c>
      <c r="N37" s="8">
        <f>INDEX(Assumptions!$B$13:$B$15,MATCH(G37,Assumptions!$A$13:$A$15,0))</f>
        <v>5</v>
      </c>
      <c r="O37" s="8">
        <f t="shared" si="0"/>
        <v>4.3</v>
      </c>
      <c r="P37" s="12">
        <f>ROUND(Assumptions!$B$4*N37+Assumptions!$B$5*O37+Assumptions!$B$6*I37+Assumptions!$B$7*IF(J37="",Assumptions!$B$9,J37),2)</f>
        <v>4.03</v>
      </c>
      <c r="Q37" s="13">
        <f t="shared" si="1"/>
        <v>4.0316299999999998</v>
      </c>
      <c r="R37" s="7" t="s">
        <v>222</v>
      </c>
    </row>
    <row r="38" spans="1:18" ht="39.6" x14ac:dyDescent="0.3">
      <c r="A38" s="7" t="s">
        <v>223</v>
      </c>
      <c r="B38" s="7" t="s">
        <v>224</v>
      </c>
      <c r="C38" s="7" t="s">
        <v>218</v>
      </c>
      <c r="D38" s="7" t="s">
        <v>211</v>
      </c>
      <c r="E38" s="7" t="s">
        <v>191</v>
      </c>
      <c r="F38" s="7" t="s">
        <v>141</v>
      </c>
      <c r="G38" s="7" t="s">
        <v>44</v>
      </c>
      <c r="H38" s="7" t="s">
        <v>220</v>
      </c>
      <c r="I38" s="8">
        <v>3</v>
      </c>
      <c r="J38" s="9">
        <v>3</v>
      </c>
      <c r="K38" s="9"/>
      <c r="L38" s="10" t="s">
        <v>225</v>
      </c>
      <c r="M38" s="11">
        <v>46320</v>
      </c>
      <c r="N38" s="8">
        <f>INDEX(Assumptions!$B$13:$B$15,MATCH(G38,Assumptions!$A$13:$A$15,0))</f>
        <v>5</v>
      </c>
      <c r="O38" s="8">
        <f t="shared" si="0"/>
        <v>4.3</v>
      </c>
      <c r="P38" s="12">
        <f>ROUND(Assumptions!$B$4*N38+Assumptions!$B$5*O38+Assumptions!$B$6*I38+Assumptions!$B$7*IF(J38="",Assumptions!$B$9,J38),2)</f>
        <v>3.83</v>
      </c>
      <c r="Q38" s="13">
        <f t="shared" si="1"/>
        <v>3.83162</v>
      </c>
      <c r="R38" s="7" t="s">
        <v>226</v>
      </c>
    </row>
    <row r="39" spans="1:18" ht="26.4" x14ac:dyDescent="0.3">
      <c r="A39" s="7" t="s">
        <v>227</v>
      </c>
      <c r="B39" s="7" t="s">
        <v>228</v>
      </c>
      <c r="C39" s="7" t="s">
        <v>218</v>
      </c>
      <c r="D39" s="7" t="s">
        <v>211</v>
      </c>
      <c r="E39" s="7" t="s">
        <v>118</v>
      </c>
      <c r="F39" s="7" t="s">
        <v>59</v>
      </c>
      <c r="G39" s="7" t="s">
        <v>44</v>
      </c>
      <c r="H39" s="7" t="s">
        <v>220</v>
      </c>
      <c r="I39" s="8">
        <v>3</v>
      </c>
      <c r="J39" s="9">
        <v>3</v>
      </c>
      <c r="K39" s="9"/>
      <c r="L39" s="10" t="s">
        <v>229</v>
      </c>
      <c r="M39" s="11">
        <v>46320</v>
      </c>
      <c r="N39" s="8">
        <f>INDEX(Assumptions!$B$13:$B$15,MATCH(G39,Assumptions!$A$13:$A$15,0))</f>
        <v>5</v>
      </c>
      <c r="O39" s="8">
        <f t="shared" si="0"/>
        <v>4.3</v>
      </c>
      <c r="P39" s="12">
        <f>ROUND(Assumptions!$B$4*N39+Assumptions!$B$5*O39+Assumptions!$B$6*I39+Assumptions!$B$7*IF(J39="",Assumptions!$B$9,J39),2)</f>
        <v>3.83</v>
      </c>
      <c r="Q39" s="13">
        <f t="shared" si="1"/>
        <v>3.83161</v>
      </c>
      <c r="R39" s="7" t="s">
        <v>230</v>
      </c>
    </row>
    <row r="40" spans="1:18" ht="26.4" x14ac:dyDescent="0.3">
      <c r="A40" s="7" t="s">
        <v>231</v>
      </c>
      <c r="B40" s="7" t="s">
        <v>232</v>
      </c>
      <c r="C40" s="7" t="s">
        <v>218</v>
      </c>
      <c r="D40" s="7" t="s">
        <v>211</v>
      </c>
      <c r="E40" s="7" t="s">
        <v>118</v>
      </c>
      <c r="F40" s="7" t="s">
        <v>59</v>
      </c>
      <c r="G40" s="7" t="s">
        <v>44</v>
      </c>
      <c r="H40" s="7" t="s">
        <v>233</v>
      </c>
      <c r="I40" s="8">
        <v>3</v>
      </c>
      <c r="J40" s="9">
        <v>3</v>
      </c>
      <c r="K40" s="9"/>
      <c r="L40" s="10" t="s">
        <v>234</v>
      </c>
      <c r="M40" s="11">
        <v>46320</v>
      </c>
      <c r="N40" s="8">
        <f>INDEX(Assumptions!$B$13:$B$15,MATCH(G40,Assumptions!$A$13:$A$15,0))</f>
        <v>5</v>
      </c>
      <c r="O40" s="8">
        <f t="shared" si="0"/>
        <v>3.6</v>
      </c>
      <c r="P40" s="12">
        <f>ROUND(Assumptions!$B$4*N40+Assumptions!$B$5*O40+Assumptions!$B$6*I40+Assumptions!$B$7*IF(J40="",Assumptions!$B$9,J40),2)</f>
        <v>3.65</v>
      </c>
      <c r="Q40" s="13">
        <f t="shared" si="1"/>
        <v>3.6515999999999997</v>
      </c>
      <c r="R40" s="7" t="s">
        <v>235</v>
      </c>
    </row>
    <row r="41" spans="1:18" ht="26.4" x14ac:dyDescent="0.3">
      <c r="A41" s="7" t="s">
        <v>236</v>
      </c>
      <c r="B41" s="7" t="s">
        <v>237</v>
      </c>
      <c r="C41" s="7" t="s">
        <v>218</v>
      </c>
      <c r="D41" s="7" t="s">
        <v>211</v>
      </c>
      <c r="E41" s="7" t="s">
        <v>238</v>
      </c>
      <c r="F41" s="7" t="s">
        <v>76</v>
      </c>
      <c r="G41" s="7" t="s">
        <v>44</v>
      </c>
      <c r="H41" s="7" t="s">
        <v>233</v>
      </c>
      <c r="I41" s="8">
        <v>3</v>
      </c>
      <c r="J41" s="9">
        <v>2</v>
      </c>
      <c r="K41" s="9"/>
      <c r="L41" s="10" t="s">
        <v>239</v>
      </c>
      <c r="M41" s="11">
        <v>46320</v>
      </c>
      <c r="N41" s="8">
        <f>INDEX(Assumptions!$B$13:$B$15,MATCH(G41,Assumptions!$A$13:$A$15,0))</f>
        <v>5</v>
      </c>
      <c r="O41" s="8">
        <f t="shared" si="0"/>
        <v>3.6</v>
      </c>
      <c r="P41" s="12">
        <f>ROUND(Assumptions!$B$4*N41+Assumptions!$B$5*O41+Assumptions!$B$6*I41+Assumptions!$B$7*IF(J41="",Assumptions!$B$9,J41),2)</f>
        <v>3.45</v>
      </c>
      <c r="Q41" s="13">
        <f t="shared" si="1"/>
        <v>3.4515900000000004</v>
      </c>
      <c r="R41" s="7" t="s">
        <v>240</v>
      </c>
    </row>
    <row r="42" spans="1:18" ht="79.2" x14ac:dyDescent="0.3">
      <c r="A42" s="7" t="s">
        <v>241</v>
      </c>
      <c r="B42" s="7" t="s">
        <v>242</v>
      </c>
      <c r="C42" s="7" t="s">
        <v>218</v>
      </c>
      <c r="D42" s="7" t="s">
        <v>211</v>
      </c>
      <c r="E42" s="7" t="s">
        <v>243</v>
      </c>
      <c r="F42" s="7" t="s">
        <v>97</v>
      </c>
      <c r="G42" s="7" t="s">
        <v>44</v>
      </c>
      <c r="H42" s="7" t="s">
        <v>244</v>
      </c>
      <c r="I42" s="8">
        <v>3</v>
      </c>
      <c r="J42" s="9">
        <v>4</v>
      </c>
      <c r="K42" s="9"/>
      <c r="L42" s="10"/>
      <c r="M42" s="11">
        <v>46320</v>
      </c>
      <c r="N42" s="8">
        <f>INDEX(Assumptions!$B$13:$B$15,MATCH(G42,Assumptions!$A$13:$A$15,0))</f>
        <v>5</v>
      </c>
      <c r="O42" s="8">
        <f t="shared" si="0"/>
        <v>3.6</v>
      </c>
      <c r="P42" s="12">
        <f>ROUND(Assumptions!$B$4*N42+Assumptions!$B$5*O42+Assumptions!$B$6*I42+Assumptions!$B$7*IF(J42="",Assumptions!$B$9,J42),2)</f>
        <v>3.85</v>
      </c>
      <c r="Q42" s="13">
        <f t="shared" si="1"/>
        <v>3.8515800000000002</v>
      </c>
      <c r="R42" s="7" t="s">
        <v>245</v>
      </c>
    </row>
    <row r="43" spans="1:18" x14ac:dyDescent="0.3">
      <c r="A43" s="7" t="s">
        <v>246</v>
      </c>
      <c r="B43" s="7" t="s">
        <v>247</v>
      </c>
      <c r="C43" s="7" t="s">
        <v>218</v>
      </c>
      <c r="D43" s="7" t="s">
        <v>211</v>
      </c>
      <c r="E43" s="7" t="s">
        <v>248</v>
      </c>
      <c r="F43" s="7" t="s">
        <v>141</v>
      </c>
      <c r="G43" s="7" t="s">
        <v>44</v>
      </c>
      <c r="H43" s="7" t="s">
        <v>233</v>
      </c>
      <c r="I43" s="8">
        <v>3</v>
      </c>
      <c r="J43" s="9"/>
      <c r="K43" s="9"/>
      <c r="L43" s="10"/>
      <c r="M43" s="11"/>
      <c r="N43" s="8">
        <f>INDEX(Assumptions!$B$13:$B$15,MATCH(G43,Assumptions!$A$13:$A$15,0))</f>
        <v>5</v>
      </c>
      <c r="O43" s="8">
        <f t="shared" si="0"/>
        <v>3.6</v>
      </c>
      <c r="P43" s="12">
        <f>ROUND(Assumptions!$B$4*N43+Assumptions!$B$5*O43+Assumptions!$B$6*I43+Assumptions!$B$7*IF(J43="",Assumptions!$B$9,J43),2)</f>
        <v>3.65</v>
      </c>
      <c r="Q43" s="13">
        <f t="shared" si="1"/>
        <v>3.65157</v>
      </c>
      <c r="R43" s="7"/>
    </row>
    <row r="44" spans="1:18" ht="26.4" x14ac:dyDescent="0.3">
      <c r="A44" s="7" t="s">
        <v>249</v>
      </c>
      <c r="B44" s="7" t="s">
        <v>250</v>
      </c>
      <c r="C44" s="7" t="s">
        <v>218</v>
      </c>
      <c r="D44" s="7" t="s">
        <v>211</v>
      </c>
      <c r="E44" s="7" t="s">
        <v>251</v>
      </c>
      <c r="F44" s="7" t="s">
        <v>70</v>
      </c>
      <c r="G44" s="7" t="s">
        <v>44</v>
      </c>
      <c r="H44" s="7" t="s">
        <v>252</v>
      </c>
      <c r="I44" s="8">
        <v>3</v>
      </c>
      <c r="J44" s="9">
        <v>2</v>
      </c>
      <c r="K44" s="9"/>
      <c r="L44" s="10"/>
      <c r="M44" s="11">
        <v>46320</v>
      </c>
      <c r="N44" s="8">
        <f>INDEX(Assumptions!$B$13:$B$15,MATCH(G44,Assumptions!$A$13:$A$15,0))</f>
        <v>5</v>
      </c>
      <c r="O44" s="8">
        <f t="shared" si="0"/>
        <v>2.9</v>
      </c>
      <c r="P44" s="12">
        <f>ROUND(Assumptions!$B$4*N44+Assumptions!$B$5*O44+Assumptions!$B$6*I44+Assumptions!$B$7*IF(J44="",Assumptions!$B$9,J44),2)</f>
        <v>3.28</v>
      </c>
      <c r="Q44" s="13">
        <f t="shared" si="1"/>
        <v>3.2815599999999998</v>
      </c>
      <c r="R44" s="7" t="s">
        <v>253</v>
      </c>
    </row>
    <row r="45" spans="1:18" x14ac:dyDescent="0.3">
      <c r="A45" s="7" t="s">
        <v>254</v>
      </c>
      <c r="B45" s="7" t="s">
        <v>255</v>
      </c>
      <c r="C45" s="7" t="s">
        <v>256</v>
      </c>
      <c r="D45" s="7" t="s">
        <v>257</v>
      </c>
      <c r="E45" s="7" t="s">
        <v>258</v>
      </c>
      <c r="F45" s="7" t="s">
        <v>59</v>
      </c>
      <c r="G45" s="7" t="s">
        <v>44</v>
      </c>
      <c r="H45" s="7" t="s">
        <v>259</v>
      </c>
      <c r="I45" s="8">
        <v>1</v>
      </c>
      <c r="J45" s="9"/>
      <c r="K45" s="9"/>
      <c r="L45" s="10"/>
      <c r="M45" s="11"/>
      <c r="N45" s="8">
        <f>INDEX(Assumptions!$B$13:$B$15,MATCH(G45,Assumptions!$A$13:$A$15,0))</f>
        <v>5</v>
      </c>
      <c r="O45" s="8">
        <f t="shared" si="0"/>
        <v>3.6</v>
      </c>
      <c r="P45" s="12">
        <f>ROUND(Assumptions!$B$4*N45+Assumptions!$B$5*O45+Assumptions!$B$6*I45+Assumptions!$B$7*IF(J45="",Assumptions!$B$9,J45),2)</f>
        <v>3.05</v>
      </c>
      <c r="Q45" s="13">
        <f t="shared" si="1"/>
        <v>3.0515499999999998</v>
      </c>
      <c r="R45" s="7" t="s">
        <v>260</v>
      </c>
    </row>
  </sheetData>
  <autoFilter ref="A1:R45" xr:uid="{00000000-0009-0000-0000-000001000000}"/>
  <dataValidations count="2">
    <dataValidation type="whole" allowBlank="1" error="Enter 1-5" sqref="J2:J45" xr:uid="{00000000-0002-0000-0100-000000000000}">
      <formula1>1</formula1>
      <formula2>5</formula2>
    </dataValidation>
    <dataValidation type="list" sqref="G2:G45" xr:uid="{00000000-0002-0000-0100-000001000000}">
      <formula1>"Large,Mid,Small"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4"/>
  <sheetViews>
    <sheetView zoomScaleNormal="100" workbookViewId="0">
      <pane ySplit="3" topLeftCell="A4" activePane="bottomLeft" state="frozen"/>
      <selection pane="bottomLeft"/>
    </sheetView>
  </sheetViews>
  <sheetFormatPr defaultColWidth="8.6640625" defaultRowHeight="14.4" x14ac:dyDescent="0.3"/>
  <cols>
    <col min="1" max="1" width="40" customWidth="1"/>
    <col min="2" max="2" width="24" customWidth="1"/>
    <col min="3" max="3" width="34" customWidth="1"/>
    <col min="4" max="4" width="36" customWidth="1"/>
    <col min="5" max="5" width="34" customWidth="1"/>
    <col min="6" max="6" width="16" customWidth="1"/>
    <col min="7" max="9" width="12" customWidth="1"/>
  </cols>
  <sheetData>
    <row r="1" spans="1:9" ht="17.399999999999999" x14ac:dyDescent="0.3">
      <c r="A1" s="14" t="s">
        <v>261</v>
      </c>
    </row>
    <row r="3" spans="1:9" ht="39.75" customHeight="1" x14ac:dyDescent="0.3">
      <c r="A3" s="6" t="s">
        <v>262</v>
      </c>
      <c r="B3" s="6" t="s">
        <v>263</v>
      </c>
      <c r="C3" s="6" t="s">
        <v>264</v>
      </c>
      <c r="D3" s="6" t="s">
        <v>265</v>
      </c>
      <c r="E3" s="6" t="s">
        <v>266</v>
      </c>
      <c r="F3" s="6" t="s">
        <v>267</v>
      </c>
      <c r="G3" s="6" t="s">
        <v>268</v>
      </c>
      <c r="H3" s="6" t="s">
        <v>269</v>
      </c>
      <c r="I3" s="6" t="s">
        <v>270</v>
      </c>
    </row>
    <row r="4" spans="1:9" ht="26.4" x14ac:dyDescent="0.3">
      <c r="A4" s="7" t="s">
        <v>271</v>
      </c>
      <c r="B4" s="7" t="s">
        <v>272</v>
      </c>
      <c r="C4" s="7" t="s">
        <v>273</v>
      </c>
      <c r="D4" s="7" t="s">
        <v>274</v>
      </c>
      <c r="E4" s="7" t="s">
        <v>275</v>
      </c>
      <c r="F4" s="8">
        <v>3</v>
      </c>
      <c r="G4" s="8">
        <f>COUNTIF(C14:C34,3)</f>
        <v>5</v>
      </c>
      <c r="H4" s="8">
        <f>COUNTIF(C14:C34,2)</f>
        <v>6</v>
      </c>
      <c r="I4" s="8">
        <f>COUNTIF(C14:C34,1)</f>
        <v>6</v>
      </c>
    </row>
    <row r="5" spans="1:9" ht="26.4" x14ac:dyDescent="0.3">
      <c r="A5" s="7" t="s">
        <v>276</v>
      </c>
      <c r="B5" s="7" t="s">
        <v>277</v>
      </c>
      <c r="C5" s="7" t="s">
        <v>278</v>
      </c>
      <c r="D5" s="7" t="s">
        <v>279</v>
      </c>
      <c r="E5" s="7" t="s">
        <v>280</v>
      </c>
      <c r="F5" s="8">
        <v>3</v>
      </c>
      <c r="G5" s="8">
        <f>COUNTIF(D14:D34,3)</f>
        <v>6</v>
      </c>
      <c r="H5" s="8">
        <f>COUNTIF(D14:D34,2)</f>
        <v>6</v>
      </c>
      <c r="I5" s="8">
        <f>COUNTIF(D14:D34,1)</f>
        <v>4</v>
      </c>
    </row>
    <row r="6" spans="1:9" ht="39.6" x14ac:dyDescent="0.3">
      <c r="A6" s="7" t="s">
        <v>281</v>
      </c>
      <c r="B6" s="7" t="s">
        <v>282</v>
      </c>
      <c r="C6" s="7" t="s">
        <v>283</v>
      </c>
      <c r="D6" s="7" t="s">
        <v>284</v>
      </c>
      <c r="E6" s="7" t="s">
        <v>285</v>
      </c>
      <c r="F6" s="8">
        <v>4</v>
      </c>
      <c r="G6" s="8">
        <f>COUNTIF(E14:E34,3)</f>
        <v>4</v>
      </c>
      <c r="H6" s="8">
        <f>COUNTIF(E14:E34,2)</f>
        <v>4</v>
      </c>
      <c r="I6" s="8">
        <f>COUNTIF(E14:E34,1)</f>
        <v>6</v>
      </c>
    </row>
    <row r="7" spans="1:9" ht="26.4" x14ac:dyDescent="0.3">
      <c r="A7" s="7" t="s">
        <v>286</v>
      </c>
      <c r="B7" s="7" t="s">
        <v>287</v>
      </c>
      <c r="C7" s="7" t="s">
        <v>288</v>
      </c>
      <c r="D7" s="7" t="s">
        <v>289</v>
      </c>
      <c r="E7" s="7" t="s">
        <v>290</v>
      </c>
      <c r="F7" s="8">
        <v>4</v>
      </c>
      <c r="G7" s="8">
        <f>COUNTIF(F14:F34,3)</f>
        <v>5</v>
      </c>
      <c r="H7" s="8">
        <f>COUNTIF(F14:F34,2)</f>
        <v>1</v>
      </c>
      <c r="I7" s="8">
        <f>COUNTIF(F14:F34,1)</f>
        <v>5</v>
      </c>
    </row>
    <row r="8" spans="1:9" ht="26.4" x14ac:dyDescent="0.3">
      <c r="A8" s="7" t="s">
        <v>291</v>
      </c>
      <c r="B8" s="7" t="s">
        <v>292</v>
      </c>
      <c r="C8" s="7" t="s">
        <v>293</v>
      </c>
      <c r="D8" s="7" t="s">
        <v>294</v>
      </c>
      <c r="E8" s="7" t="s">
        <v>295</v>
      </c>
      <c r="F8" s="8">
        <v>4</v>
      </c>
      <c r="G8" s="8">
        <f>COUNTIF(G14:G34,3)</f>
        <v>3</v>
      </c>
      <c r="H8" s="8">
        <f>COUNTIF(G14:G34,2)</f>
        <v>2</v>
      </c>
      <c r="I8" s="8">
        <f>COUNTIF(G14:G34,1)</f>
        <v>5</v>
      </c>
    </row>
    <row r="9" spans="1:9" ht="26.4" x14ac:dyDescent="0.3">
      <c r="A9" s="7" t="s">
        <v>296</v>
      </c>
      <c r="B9" s="7" t="s">
        <v>297</v>
      </c>
      <c r="C9" s="7" t="s">
        <v>298</v>
      </c>
      <c r="D9" s="7" t="s">
        <v>299</v>
      </c>
      <c r="E9" s="7" t="s">
        <v>300</v>
      </c>
      <c r="F9" s="8">
        <v>2</v>
      </c>
      <c r="G9" s="8">
        <f>COUNTIF(H14:H34,3)</f>
        <v>2</v>
      </c>
      <c r="H9" s="8">
        <f>COUNTIF(H14:H34,2)</f>
        <v>7</v>
      </c>
      <c r="I9" s="8">
        <f>COUNTIF(H14:H34,1)</f>
        <v>6</v>
      </c>
    </row>
    <row r="10" spans="1:9" ht="26.4" x14ac:dyDescent="0.3">
      <c r="A10" s="7" t="s">
        <v>301</v>
      </c>
      <c r="B10" s="7" t="s">
        <v>302</v>
      </c>
      <c r="C10" s="7" t="s">
        <v>303</v>
      </c>
      <c r="D10" s="7" t="s">
        <v>304</v>
      </c>
      <c r="E10" s="7" t="s">
        <v>305</v>
      </c>
      <c r="F10" s="8">
        <v>3</v>
      </c>
      <c r="G10" s="8">
        <f>COUNTIF(I14:I34,3)</f>
        <v>2</v>
      </c>
      <c r="H10" s="8">
        <f>COUNTIF(I14:I34,2)</f>
        <v>5</v>
      </c>
      <c r="I10" s="8">
        <f>COUNTIF(I14:I34,1)</f>
        <v>7</v>
      </c>
    </row>
    <row r="12" spans="1:9" x14ac:dyDescent="0.3">
      <c r="A12" s="15" t="s">
        <v>306</v>
      </c>
    </row>
    <row r="13" spans="1:9" ht="39.75" customHeight="1" x14ac:dyDescent="0.3">
      <c r="A13" s="6" t="s">
        <v>307</v>
      </c>
      <c r="B13" s="6" t="s">
        <v>308</v>
      </c>
      <c r="C13" s="6" t="s">
        <v>272</v>
      </c>
      <c r="D13" s="6" t="s">
        <v>277</v>
      </c>
      <c r="E13" s="6" t="s">
        <v>282</v>
      </c>
      <c r="F13" s="6" t="s">
        <v>287</v>
      </c>
      <c r="G13" s="6" t="s">
        <v>292</v>
      </c>
      <c r="H13" s="6" t="s">
        <v>297</v>
      </c>
      <c r="I13" s="6" t="s">
        <v>302</v>
      </c>
    </row>
    <row r="14" spans="1:9" x14ac:dyDescent="0.3">
      <c r="A14" s="7" t="s">
        <v>309</v>
      </c>
      <c r="B14" s="7" t="s">
        <v>310</v>
      </c>
      <c r="C14" s="8">
        <v>3</v>
      </c>
      <c r="D14" s="8">
        <v>3</v>
      </c>
      <c r="E14" s="8">
        <v>3</v>
      </c>
      <c r="F14" s="8">
        <v>3</v>
      </c>
      <c r="G14" s="8">
        <v>1</v>
      </c>
      <c r="H14" s="8">
        <v>1</v>
      </c>
      <c r="I14" s="8">
        <v>1</v>
      </c>
    </row>
    <row r="15" spans="1:9" x14ac:dyDescent="0.3">
      <c r="A15" s="7" t="s">
        <v>311</v>
      </c>
      <c r="B15" s="7" t="s">
        <v>312</v>
      </c>
      <c r="C15" s="8">
        <v>2</v>
      </c>
      <c r="D15" s="8">
        <v>2</v>
      </c>
      <c r="E15" s="8">
        <v>3</v>
      </c>
      <c r="F15" s="8">
        <v>3</v>
      </c>
      <c r="G15" s="8">
        <v>1</v>
      </c>
      <c r="H15" s="8">
        <v>2</v>
      </c>
      <c r="I15" s="8">
        <v>2</v>
      </c>
    </row>
    <row r="16" spans="1:9" x14ac:dyDescent="0.3">
      <c r="A16" s="7" t="s">
        <v>313</v>
      </c>
      <c r="B16" s="7" t="s">
        <v>314</v>
      </c>
      <c r="C16" s="8">
        <v>2</v>
      </c>
      <c r="D16" s="8">
        <v>3</v>
      </c>
      <c r="E16" s="8">
        <v>2</v>
      </c>
      <c r="F16" s="8">
        <v>0</v>
      </c>
      <c r="G16" s="8">
        <v>0</v>
      </c>
      <c r="H16" s="8">
        <v>0</v>
      </c>
      <c r="I16" s="8">
        <v>0</v>
      </c>
    </row>
    <row r="17" spans="1:9" x14ac:dyDescent="0.3">
      <c r="A17" s="7" t="s">
        <v>315</v>
      </c>
      <c r="B17" s="7" t="s">
        <v>314</v>
      </c>
      <c r="C17" s="8">
        <v>1</v>
      </c>
      <c r="D17" s="8">
        <v>3</v>
      </c>
      <c r="E17" s="8">
        <v>3</v>
      </c>
      <c r="F17" s="8">
        <v>0</v>
      </c>
      <c r="G17" s="8">
        <v>0</v>
      </c>
      <c r="H17" s="8">
        <v>1</v>
      </c>
      <c r="I17" s="8">
        <v>0</v>
      </c>
    </row>
    <row r="18" spans="1:9" x14ac:dyDescent="0.3">
      <c r="A18" s="7" t="s">
        <v>316</v>
      </c>
      <c r="B18" s="7" t="s">
        <v>317</v>
      </c>
      <c r="C18" s="8">
        <v>3</v>
      </c>
      <c r="D18" s="8">
        <v>1</v>
      </c>
      <c r="E18" s="8">
        <v>1</v>
      </c>
      <c r="F18" s="8">
        <v>0</v>
      </c>
      <c r="G18" s="8">
        <v>1</v>
      </c>
      <c r="H18" s="8">
        <v>2</v>
      </c>
      <c r="I18" s="8">
        <v>2</v>
      </c>
    </row>
    <row r="19" spans="1:9" x14ac:dyDescent="0.3">
      <c r="A19" s="7" t="s">
        <v>318</v>
      </c>
      <c r="B19" s="7" t="s">
        <v>317</v>
      </c>
      <c r="C19" s="8">
        <v>3</v>
      </c>
      <c r="D19" s="8">
        <v>1</v>
      </c>
      <c r="E19" s="8">
        <v>0</v>
      </c>
      <c r="F19" s="8">
        <v>1</v>
      </c>
      <c r="G19" s="8">
        <v>0</v>
      </c>
      <c r="H19" s="8">
        <v>2</v>
      </c>
      <c r="I19" s="8">
        <v>1</v>
      </c>
    </row>
    <row r="20" spans="1:9" x14ac:dyDescent="0.3">
      <c r="A20" s="7" t="s">
        <v>319</v>
      </c>
      <c r="B20" s="7" t="s">
        <v>317</v>
      </c>
      <c r="C20" s="8">
        <v>3</v>
      </c>
      <c r="D20" s="8">
        <v>1</v>
      </c>
      <c r="E20" s="8">
        <v>0</v>
      </c>
      <c r="F20" s="8">
        <v>0</v>
      </c>
      <c r="G20" s="8">
        <v>0</v>
      </c>
      <c r="H20" s="8">
        <v>2</v>
      </c>
      <c r="I20" s="8">
        <v>1</v>
      </c>
    </row>
    <row r="21" spans="1:9" x14ac:dyDescent="0.3">
      <c r="A21" s="7" t="s">
        <v>320</v>
      </c>
      <c r="B21" s="7" t="s">
        <v>317</v>
      </c>
      <c r="C21" s="8">
        <v>2</v>
      </c>
      <c r="D21" s="8">
        <v>2</v>
      </c>
      <c r="E21" s="8">
        <v>1</v>
      </c>
      <c r="F21" s="8">
        <v>0</v>
      </c>
      <c r="G21" s="8">
        <v>0</v>
      </c>
      <c r="H21" s="8">
        <v>0</v>
      </c>
      <c r="I21" s="8">
        <v>0</v>
      </c>
    </row>
    <row r="22" spans="1:9" x14ac:dyDescent="0.3">
      <c r="A22" s="7" t="s">
        <v>321</v>
      </c>
      <c r="B22" s="7" t="s">
        <v>317</v>
      </c>
      <c r="C22" s="8">
        <v>3</v>
      </c>
      <c r="D22" s="8">
        <v>2</v>
      </c>
      <c r="E22" s="8">
        <v>2</v>
      </c>
      <c r="F22" s="8">
        <v>0</v>
      </c>
      <c r="G22" s="8">
        <v>0</v>
      </c>
      <c r="H22" s="8">
        <v>2</v>
      </c>
      <c r="I22" s="8">
        <v>1</v>
      </c>
    </row>
    <row r="23" spans="1:9" x14ac:dyDescent="0.3">
      <c r="A23" s="7" t="s">
        <v>322</v>
      </c>
      <c r="B23" s="7" t="s">
        <v>323</v>
      </c>
      <c r="C23" s="8">
        <v>1</v>
      </c>
      <c r="D23" s="8">
        <v>3</v>
      </c>
      <c r="E23" s="8">
        <v>0</v>
      </c>
      <c r="F23" s="8">
        <v>1</v>
      </c>
      <c r="G23" s="8">
        <v>0</v>
      </c>
      <c r="H23" s="8">
        <v>0</v>
      </c>
      <c r="I23" s="8">
        <v>0</v>
      </c>
    </row>
    <row r="24" spans="1:9" x14ac:dyDescent="0.3">
      <c r="A24" s="7" t="s">
        <v>324</v>
      </c>
      <c r="B24" s="7" t="s">
        <v>323</v>
      </c>
      <c r="C24" s="8">
        <v>2</v>
      </c>
      <c r="D24" s="8">
        <v>3</v>
      </c>
      <c r="E24" s="8">
        <v>1</v>
      </c>
      <c r="F24" s="8">
        <v>3</v>
      </c>
      <c r="G24" s="8">
        <v>1</v>
      </c>
      <c r="H24" s="8">
        <v>1</v>
      </c>
      <c r="I24" s="8">
        <v>2</v>
      </c>
    </row>
    <row r="25" spans="1:9" x14ac:dyDescent="0.3">
      <c r="A25" s="7" t="s">
        <v>325</v>
      </c>
      <c r="B25" s="7" t="s">
        <v>312</v>
      </c>
      <c r="C25" s="8">
        <v>1</v>
      </c>
      <c r="D25" s="8">
        <v>2</v>
      </c>
      <c r="E25" s="8">
        <v>1</v>
      </c>
      <c r="F25" s="8">
        <v>3</v>
      </c>
      <c r="G25" s="8">
        <v>0</v>
      </c>
      <c r="H25" s="8">
        <v>0</v>
      </c>
      <c r="I25" s="8">
        <v>0</v>
      </c>
    </row>
    <row r="26" spans="1:9" x14ac:dyDescent="0.3">
      <c r="A26" s="7" t="s">
        <v>326</v>
      </c>
      <c r="B26" s="7" t="s">
        <v>312</v>
      </c>
      <c r="C26" s="8">
        <v>1</v>
      </c>
      <c r="D26" s="8">
        <v>2</v>
      </c>
      <c r="E26" s="8">
        <v>3</v>
      </c>
      <c r="F26" s="8">
        <v>1</v>
      </c>
      <c r="G26" s="8">
        <v>0</v>
      </c>
      <c r="H26" s="8">
        <v>2</v>
      </c>
      <c r="I26" s="8">
        <v>0</v>
      </c>
    </row>
    <row r="27" spans="1:9" x14ac:dyDescent="0.3">
      <c r="A27" s="7" t="s">
        <v>327</v>
      </c>
      <c r="B27" s="7" t="s">
        <v>312</v>
      </c>
      <c r="C27" s="8">
        <v>0</v>
      </c>
      <c r="D27" s="8">
        <v>0</v>
      </c>
      <c r="E27" s="8">
        <v>2</v>
      </c>
      <c r="F27" s="8">
        <v>1</v>
      </c>
      <c r="G27" s="8">
        <v>0</v>
      </c>
      <c r="H27" s="8">
        <v>2</v>
      </c>
      <c r="I27" s="8">
        <v>1</v>
      </c>
    </row>
    <row r="28" spans="1:9" x14ac:dyDescent="0.3">
      <c r="A28" s="7" t="s">
        <v>328</v>
      </c>
      <c r="B28" s="7" t="s">
        <v>39</v>
      </c>
      <c r="C28" s="8">
        <v>0</v>
      </c>
      <c r="D28" s="8">
        <v>0</v>
      </c>
      <c r="E28" s="8">
        <v>0</v>
      </c>
      <c r="F28" s="8">
        <v>0</v>
      </c>
      <c r="G28" s="8">
        <v>3</v>
      </c>
      <c r="H28" s="8">
        <v>0</v>
      </c>
      <c r="I28" s="8">
        <v>1</v>
      </c>
    </row>
    <row r="29" spans="1:9" x14ac:dyDescent="0.3">
      <c r="A29" s="7" t="s">
        <v>329</v>
      </c>
      <c r="B29" s="7" t="s">
        <v>310</v>
      </c>
      <c r="C29" s="8">
        <v>1</v>
      </c>
      <c r="D29" s="8">
        <v>0</v>
      </c>
      <c r="E29" s="8">
        <v>0</v>
      </c>
      <c r="F29" s="8">
        <v>0</v>
      </c>
      <c r="G29" s="8">
        <v>3</v>
      </c>
      <c r="H29" s="8">
        <v>0</v>
      </c>
      <c r="I29" s="8">
        <v>0</v>
      </c>
    </row>
    <row r="30" spans="1:9" x14ac:dyDescent="0.3">
      <c r="A30" s="7" t="s">
        <v>330</v>
      </c>
      <c r="B30" s="7" t="s">
        <v>323</v>
      </c>
      <c r="C30" s="8">
        <v>2</v>
      </c>
      <c r="D30" s="8">
        <v>2</v>
      </c>
      <c r="E30" s="8">
        <v>0</v>
      </c>
      <c r="F30" s="8">
        <v>2</v>
      </c>
      <c r="G30" s="8">
        <v>3</v>
      </c>
      <c r="H30" s="8">
        <v>1</v>
      </c>
      <c r="I30" s="8">
        <v>2</v>
      </c>
    </row>
    <row r="31" spans="1:9" x14ac:dyDescent="0.3">
      <c r="A31" s="7" t="s">
        <v>331</v>
      </c>
      <c r="B31" s="7" t="s">
        <v>323</v>
      </c>
      <c r="C31" s="8">
        <v>2</v>
      </c>
      <c r="D31" s="8">
        <v>3</v>
      </c>
      <c r="E31" s="8">
        <v>1</v>
      </c>
      <c r="F31" s="8">
        <v>3</v>
      </c>
      <c r="G31" s="8">
        <v>2</v>
      </c>
      <c r="H31" s="8">
        <v>1</v>
      </c>
      <c r="I31" s="8">
        <v>2</v>
      </c>
    </row>
    <row r="32" spans="1:9" x14ac:dyDescent="0.3">
      <c r="A32" s="7" t="s">
        <v>332</v>
      </c>
      <c r="B32" s="7" t="s">
        <v>333</v>
      </c>
      <c r="C32" s="8">
        <v>0</v>
      </c>
      <c r="D32" s="8">
        <v>0</v>
      </c>
      <c r="E32" s="8">
        <v>1</v>
      </c>
      <c r="F32" s="8">
        <v>0</v>
      </c>
      <c r="G32" s="8">
        <v>0</v>
      </c>
      <c r="H32" s="8">
        <v>3</v>
      </c>
      <c r="I32" s="8">
        <v>1</v>
      </c>
    </row>
    <row r="33" spans="1:9" x14ac:dyDescent="0.3">
      <c r="A33" s="7" t="s">
        <v>334</v>
      </c>
      <c r="B33" s="7" t="s">
        <v>335</v>
      </c>
      <c r="C33" s="8">
        <v>1</v>
      </c>
      <c r="D33" s="8">
        <v>1</v>
      </c>
      <c r="E33" s="8">
        <v>2</v>
      </c>
      <c r="F33" s="8">
        <v>1</v>
      </c>
      <c r="G33" s="8">
        <v>2</v>
      </c>
      <c r="H33" s="8">
        <v>3</v>
      </c>
      <c r="I33" s="8">
        <v>3</v>
      </c>
    </row>
    <row r="34" spans="1:9" x14ac:dyDescent="0.3">
      <c r="A34" s="7" t="s">
        <v>336</v>
      </c>
      <c r="B34" s="7" t="s">
        <v>337</v>
      </c>
      <c r="C34" s="8">
        <v>0</v>
      </c>
      <c r="D34" s="8">
        <v>0</v>
      </c>
      <c r="E34" s="8">
        <v>0</v>
      </c>
      <c r="F34" s="8">
        <v>0</v>
      </c>
      <c r="G34" s="8">
        <v>1</v>
      </c>
      <c r="H34" s="8">
        <v>1</v>
      </c>
      <c r="I34" s="8">
        <v>3</v>
      </c>
    </row>
  </sheetData>
  <conditionalFormatting sqref="C14:I34">
    <cfRule type="cellIs" dxfId="2" priority="2" operator="equal">
      <formula>3</formula>
    </cfRule>
    <cfRule type="cellIs" dxfId="1" priority="3" operator="equal">
      <formula>2</formula>
    </cfRule>
    <cfRule type="cellIs" dxfId="0" priority="4" operator="equal">
      <formula>1</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zoomScaleNormal="100" workbookViewId="0"/>
  </sheetViews>
  <sheetFormatPr defaultColWidth="8.6640625" defaultRowHeight="14.4" x14ac:dyDescent="0.3"/>
  <cols>
    <col min="1" max="1" width="18" customWidth="1"/>
    <col min="2" max="2" width="52" customWidth="1"/>
    <col min="3" max="3" width="11" customWidth="1"/>
    <col min="4" max="4" width="9" customWidth="1"/>
    <col min="5" max="5" width="46" customWidth="1"/>
    <col min="6" max="8" width="16" customWidth="1"/>
  </cols>
  <sheetData>
    <row r="1" spans="1:8" ht="17.399999999999999" x14ac:dyDescent="0.3">
      <c r="A1" s="14" t="s">
        <v>338</v>
      </c>
    </row>
    <row r="3" spans="1:8" ht="15" customHeight="1" x14ac:dyDescent="0.3">
      <c r="A3" s="16" t="s">
        <v>339</v>
      </c>
      <c r="B3" s="2" t="s">
        <v>340</v>
      </c>
      <c r="C3" s="2"/>
      <c r="D3" s="2"/>
      <c r="E3" s="2"/>
    </row>
    <row r="4" spans="1:8" ht="15" customHeight="1" x14ac:dyDescent="0.3">
      <c r="A4" s="16" t="s">
        <v>263</v>
      </c>
      <c r="B4" s="2" t="s">
        <v>341</v>
      </c>
      <c r="C4" s="2"/>
      <c r="D4" s="2"/>
      <c r="E4" s="2"/>
    </row>
    <row r="5" spans="1:8" ht="15" customHeight="1" x14ac:dyDescent="0.3">
      <c r="A5" s="16" t="s">
        <v>342</v>
      </c>
      <c r="B5" s="2" t="s">
        <v>343</v>
      </c>
      <c r="C5" s="2"/>
      <c r="D5" s="2"/>
      <c r="E5" s="2"/>
    </row>
    <row r="6" spans="1:8" ht="15" customHeight="1" x14ac:dyDescent="0.3">
      <c r="A6" s="16" t="s">
        <v>344</v>
      </c>
      <c r="B6" s="2" t="s">
        <v>345</v>
      </c>
      <c r="C6" s="2"/>
      <c r="D6" s="2"/>
      <c r="E6" s="2"/>
    </row>
    <row r="7" spans="1:8" ht="15" customHeight="1" x14ac:dyDescent="0.3">
      <c r="A7" s="16" t="s">
        <v>346</v>
      </c>
      <c r="B7" s="2" t="s">
        <v>347</v>
      </c>
      <c r="C7" s="2"/>
      <c r="D7" s="2"/>
      <c r="E7" s="2"/>
    </row>
    <row r="8" spans="1:8" ht="15" customHeight="1" x14ac:dyDescent="0.3">
      <c r="A8" s="16" t="s">
        <v>348</v>
      </c>
      <c r="B8" s="2" t="s">
        <v>349</v>
      </c>
      <c r="C8" s="2"/>
      <c r="D8" s="2"/>
      <c r="E8" s="2"/>
    </row>
    <row r="9" spans="1:8" ht="15" customHeight="1" x14ac:dyDescent="0.3">
      <c r="A9" s="16" t="s">
        <v>350</v>
      </c>
      <c r="B9" s="2" t="s">
        <v>351</v>
      </c>
      <c r="C9" s="2"/>
      <c r="D9" s="2"/>
      <c r="E9" s="2"/>
    </row>
    <row r="10" spans="1:8" ht="15" customHeight="1" x14ac:dyDescent="0.3">
      <c r="A10" s="16" t="s">
        <v>352</v>
      </c>
      <c r="B10" s="2" t="s">
        <v>353</v>
      </c>
      <c r="C10" s="2"/>
      <c r="D10" s="2"/>
      <c r="E10" s="2"/>
    </row>
    <row r="11" spans="1:8" ht="15" customHeight="1" x14ac:dyDescent="0.3">
      <c r="A11" s="16" t="s">
        <v>354</v>
      </c>
      <c r="B11" s="2" t="s">
        <v>355</v>
      </c>
      <c r="C11" s="2"/>
      <c r="D11" s="2"/>
      <c r="E11" s="2"/>
    </row>
    <row r="12" spans="1:8" ht="15" customHeight="1" x14ac:dyDescent="0.3">
      <c r="A12" s="16" t="s">
        <v>356</v>
      </c>
      <c r="B12" s="2" t="s">
        <v>357</v>
      </c>
      <c r="C12" s="2"/>
      <c r="D12" s="2"/>
      <c r="E12" s="2"/>
    </row>
    <row r="15" spans="1:8" ht="26.4" x14ac:dyDescent="0.3">
      <c r="A15" s="6" t="s">
        <v>358</v>
      </c>
      <c r="B15" s="6" t="s">
        <v>359</v>
      </c>
      <c r="C15" s="6" t="s">
        <v>23</v>
      </c>
      <c r="D15" s="6" t="s">
        <v>360</v>
      </c>
      <c r="E15" s="6" t="s">
        <v>361</v>
      </c>
      <c r="F15" s="6" t="s">
        <v>362</v>
      </c>
      <c r="G15" s="6" t="s">
        <v>363</v>
      </c>
      <c r="H15" s="6" t="s">
        <v>364</v>
      </c>
    </row>
    <row r="16" spans="1:8" x14ac:dyDescent="0.3">
      <c r="A16" s="8">
        <v>1</v>
      </c>
      <c r="B16" s="7" t="s">
        <v>365</v>
      </c>
      <c r="C16" s="8" t="s">
        <v>366</v>
      </c>
      <c r="D16" s="8">
        <v>5</v>
      </c>
      <c r="E16" s="7" t="s">
        <v>367</v>
      </c>
      <c r="F16" s="9">
        <v>1</v>
      </c>
      <c r="G16" s="9">
        <v>1</v>
      </c>
      <c r="H16" s="9">
        <v>1</v>
      </c>
    </row>
    <row r="17" spans="1:8" ht="26.4" x14ac:dyDescent="0.3">
      <c r="A17" s="8">
        <v>2</v>
      </c>
      <c r="B17" s="7" t="s">
        <v>368</v>
      </c>
      <c r="C17" s="8" t="s">
        <v>366</v>
      </c>
      <c r="D17" s="8">
        <v>5</v>
      </c>
      <c r="E17" s="7" t="s">
        <v>369</v>
      </c>
      <c r="F17" s="9">
        <v>1</v>
      </c>
      <c r="G17" s="9">
        <v>0</v>
      </c>
      <c r="H17" s="9">
        <v>1</v>
      </c>
    </row>
    <row r="18" spans="1:8" x14ac:dyDescent="0.3">
      <c r="A18" s="8">
        <v>3</v>
      </c>
      <c r="B18" s="7" t="s">
        <v>370</v>
      </c>
      <c r="C18" s="8" t="s">
        <v>366</v>
      </c>
      <c r="D18" s="8">
        <v>5</v>
      </c>
      <c r="E18" s="7" t="s">
        <v>371</v>
      </c>
      <c r="F18" s="9">
        <v>1</v>
      </c>
      <c r="G18" s="9">
        <v>1</v>
      </c>
      <c r="H18" s="9">
        <v>1</v>
      </c>
    </row>
    <row r="19" spans="1:8" x14ac:dyDescent="0.3">
      <c r="A19" s="8">
        <v>4</v>
      </c>
      <c r="B19" s="7" t="s">
        <v>372</v>
      </c>
      <c r="C19" s="8" t="s">
        <v>366</v>
      </c>
      <c r="D19" s="8">
        <v>5</v>
      </c>
      <c r="E19" s="7" t="s">
        <v>373</v>
      </c>
      <c r="F19" s="9">
        <v>1</v>
      </c>
      <c r="G19" s="9">
        <v>1</v>
      </c>
      <c r="H19" s="9">
        <v>1</v>
      </c>
    </row>
    <row r="20" spans="1:8" x14ac:dyDescent="0.3">
      <c r="A20" s="8">
        <v>5</v>
      </c>
      <c r="B20" s="7" t="s">
        <v>374</v>
      </c>
      <c r="C20" s="8" t="s">
        <v>366</v>
      </c>
      <c r="D20" s="8">
        <v>5</v>
      </c>
      <c r="E20" s="7" t="s">
        <v>375</v>
      </c>
      <c r="F20" s="9">
        <v>1</v>
      </c>
      <c r="G20" s="9">
        <v>1</v>
      </c>
      <c r="H20" s="9">
        <v>1</v>
      </c>
    </row>
    <row r="21" spans="1:8" x14ac:dyDescent="0.3">
      <c r="A21" s="8">
        <v>6</v>
      </c>
      <c r="B21" s="7" t="s">
        <v>376</v>
      </c>
      <c r="C21" s="8" t="s">
        <v>366</v>
      </c>
      <c r="D21" s="8">
        <v>5</v>
      </c>
      <c r="E21" s="7" t="s">
        <v>377</v>
      </c>
      <c r="F21" s="9">
        <v>1</v>
      </c>
      <c r="G21" s="9">
        <v>1</v>
      </c>
      <c r="H21" s="9">
        <v>1</v>
      </c>
    </row>
    <row r="22" spans="1:8" x14ac:dyDescent="0.3">
      <c r="A22" s="8">
        <v>7</v>
      </c>
      <c r="B22" s="7" t="s">
        <v>378</v>
      </c>
      <c r="C22" s="8" t="s">
        <v>379</v>
      </c>
      <c r="D22" s="8">
        <v>2</v>
      </c>
      <c r="E22" s="7" t="s">
        <v>380</v>
      </c>
      <c r="F22" s="9">
        <v>1</v>
      </c>
      <c r="G22" s="9">
        <v>1</v>
      </c>
      <c r="H22" s="9">
        <v>0</v>
      </c>
    </row>
    <row r="23" spans="1:8" x14ac:dyDescent="0.3">
      <c r="A23" s="8">
        <v>8</v>
      </c>
      <c r="B23" s="7" t="s">
        <v>381</v>
      </c>
      <c r="C23" s="8" t="s">
        <v>379</v>
      </c>
      <c r="D23" s="8">
        <v>2</v>
      </c>
      <c r="E23" s="7" t="s">
        <v>382</v>
      </c>
      <c r="F23" s="9">
        <v>1</v>
      </c>
      <c r="G23" s="9">
        <v>0</v>
      </c>
      <c r="H23" s="9">
        <v>0</v>
      </c>
    </row>
    <row r="24" spans="1:8" x14ac:dyDescent="0.3">
      <c r="A24" s="8">
        <v>9</v>
      </c>
      <c r="B24" s="7" t="s">
        <v>383</v>
      </c>
      <c r="C24" s="8" t="s">
        <v>379</v>
      </c>
      <c r="D24" s="8">
        <v>2</v>
      </c>
      <c r="E24" s="7" t="s">
        <v>384</v>
      </c>
      <c r="F24" s="9">
        <v>0</v>
      </c>
      <c r="G24" s="9">
        <v>0</v>
      </c>
      <c r="H24" s="9">
        <v>0</v>
      </c>
    </row>
    <row r="25" spans="1:8" x14ac:dyDescent="0.3">
      <c r="A25" s="8">
        <v>10</v>
      </c>
      <c r="B25" s="7" t="s">
        <v>385</v>
      </c>
      <c r="C25" s="8" t="s">
        <v>379</v>
      </c>
      <c r="D25" s="8">
        <v>2</v>
      </c>
      <c r="E25" s="7" t="s">
        <v>386</v>
      </c>
      <c r="F25" s="9">
        <v>1</v>
      </c>
      <c r="G25" s="9">
        <v>1</v>
      </c>
      <c r="H25" s="9">
        <v>0</v>
      </c>
    </row>
    <row r="26" spans="1:8" x14ac:dyDescent="0.3">
      <c r="A26" s="8">
        <v>11</v>
      </c>
      <c r="B26" s="7" t="s">
        <v>387</v>
      </c>
      <c r="C26" s="8" t="s">
        <v>379</v>
      </c>
      <c r="D26" s="8">
        <v>2</v>
      </c>
      <c r="E26" s="7" t="s">
        <v>388</v>
      </c>
      <c r="F26" s="9">
        <v>0</v>
      </c>
      <c r="G26" s="9">
        <v>1</v>
      </c>
      <c r="H26" s="9">
        <v>0</v>
      </c>
    </row>
    <row r="27" spans="1:8" x14ac:dyDescent="0.3">
      <c r="A27" s="8">
        <v>12</v>
      </c>
      <c r="B27" s="7" t="s">
        <v>389</v>
      </c>
      <c r="C27" s="8" t="s">
        <v>379</v>
      </c>
      <c r="D27" s="8">
        <v>2</v>
      </c>
      <c r="E27" s="7" t="s">
        <v>390</v>
      </c>
      <c r="F27" s="9">
        <v>1</v>
      </c>
      <c r="G27" s="9">
        <v>1</v>
      </c>
      <c r="H27" s="9">
        <v>1</v>
      </c>
    </row>
    <row r="29" spans="1:8" x14ac:dyDescent="0.3">
      <c r="B29" s="17" t="s">
        <v>391</v>
      </c>
      <c r="F29" s="18">
        <f>SUMPRODUCT($D$16:$D$27,F16:F27)/SUM($D$16:$D$27)</f>
        <v>0.90476190476190477</v>
      </c>
      <c r="G29" s="18">
        <f>SUMPRODUCT($D$16:$D$27,G16:G27)/SUM($D$16:$D$27)</f>
        <v>0.7857142857142857</v>
      </c>
      <c r="H29" s="18">
        <f>SUMPRODUCT($D$16:$D$27,H16:H27)/SUM($D$16:$D$27)</f>
        <v>0.76190476190476186</v>
      </c>
    </row>
    <row r="30" spans="1:8" x14ac:dyDescent="0.3">
      <c r="B30" s="17" t="s">
        <v>392</v>
      </c>
      <c r="F30" s="19" t="str">
        <f>IF(COUNTIFS($C$16:$C$27,"Must",F16:F27,0)=0,"Pass","Fail")</f>
        <v>Pass</v>
      </c>
      <c r="G30" s="19" t="str">
        <f>IF(COUNTIFS($C$16:$C$27,"Must",G16:G27,0)=0,"Pass","Fail")</f>
        <v>Fail</v>
      </c>
      <c r="H30" s="19" t="str">
        <f>IF(COUNTIFS($C$16:$C$27,"Must",H16:H27,0)=0,"Pass","Fail")</f>
        <v>Pass</v>
      </c>
    </row>
    <row r="31" spans="1:8" x14ac:dyDescent="0.3">
      <c r="B31" s="17" t="s">
        <v>393</v>
      </c>
      <c r="F31" s="19" t="str">
        <f>IF(F30="Pass",IF(F29&gt;=Assumptions!$B$10,"Shortlist","Hold"),"Reject")</f>
        <v>Shortlist</v>
      </c>
      <c r="G31" s="19" t="str">
        <f>IF(G30="Pass",IF(G29&gt;=Assumptions!$B$10,"Shortlist","Hold"),"Reject")</f>
        <v>Reject</v>
      </c>
      <c r="H31" s="19" t="str">
        <f>IF(H30="Pass",IF(H29&gt;=Assumptions!$B$10,"Shortlist","Hold"),"Reject")</f>
        <v>Shortlist</v>
      </c>
    </row>
    <row r="33" spans="2:2" x14ac:dyDescent="0.3">
      <c r="B33" s="20" t="s">
        <v>394</v>
      </c>
    </row>
  </sheetData>
  <mergeCells count="10">
    <mergeCell ref="B8:E8"/>
    <mergeCell ref="B9:E9"/>
    <mergeCell ref="B10:E10"/>
    <mergeCell ref="B11:E11"/>
    <mergeCell ref="B12:E12"/>
    <mergeCell ref="B3:E3"/>
    <mergeCell ref="B4:E4"/>
    <mergeCell ref="B5:E5"/>
    <mergeCell ref="B6:E6"/>
    <mergeCell ref="B7:E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8"/>
  <sheetViews>
    <sheetView tabSelected="1" zoomScale="86" zoomScaleNormal="100" workbookViewId="0">
      <selection activeCell="B50" sqref="B50"/>
    </sheetView>
  </sheetViews>
  <sheetFormatPr defaultColWidth="8.6640625" defaultRowHeight="14.4" x14ac:dyDescent="0.3"/>
  <cols>
    <col min="1" max="1" width="34" customWidth="1"/>
    <col min="2" max="2" width="90" customWidth="1"/>
    <col min="3" max="3" width="48" customWidth="1"/>
    <col min="4" max="4" width="50" customWidth="1"/>
  </cols>
  <sheetData>
    <row r="1" spans="1:4" ht="17.399999999999999" x14ac:dyDescent="0.3">
      <c r="A1" s="32" t="s">
        <v>395</v>
      </c>
      <c r="B1" s="33"/>
    </row>
    <row r="3" spans="1:4" x14ac:dyDescent="0.3">
      <c r="A3" s="15" t="s">
        <v>396</v>
      </c>
    </row>
    <row r="4" spans="1:4" x14ac:dyDescent="0.3">
      <c r="A4" s="6" t="s">
        <v>397</v>
      </c>
      <c r="B4" s="6" t="s">
        <v>398</v>
      </c>
      <c r="C4" s="6" t="s">
        <v>399</v>
      </c>
      <c r="D4" s="6" t="s">
        <v>400</v>
      </c>
    </row>
    <row r="5" spans="1:4" ht="26.4" x14ac:dyDescent="0.3">
      <c r="A5" s="7" t="s">
        <v>401</v>
      </c>
      <c r="B5" s="7" t="s">
        <v>402</v>
      </c>
      <c r="C5" s="7" t="s">
        <v>403</v>
      </c>
      <c r="D5" s="7" t="s">
        <v>404</v>
      </c>
    </row>
    <row r="6" spans="1:4" ht="26.4" x14ac:dyDescent="0.3">
      <c r="A6" s="7" t="s">
        <v>405</v>
      </c>
      <c r="B6" s="7" t="s">
        <v>406</v>
      </c>
      <c r="C6" s="7" t="s">
        <v>407</v>
      </c>
      <c r="D6" s="7" t="s">
        <v>408</v>
      </c>
    </row>
    <row r="7" spans="1:4" x14ac:dyDescent="0.3">
      <c r="A7" s="7" t="s">
        <v>409</v>
      </c>
      <c r="B7" s="7" t="s">
        <v>410</v>
      </c>
      <c r="C7" s="7" t="s">
        <v>411</v>
      </c>
      <c r="D7" s="7" t="s">
        <v>412</v>
      </c>
    </row>
    <row r="8" spans="1:4" ht="26.4" x14ac:dyDescent="0.3">
      <c r="A8" s="7" t="s">
        <v>413</v>
      </c>
      <c r="B8" s="7" t="s">
        <v>414</v>
      </c>
      <c r="C8" s="7" t="s">
        <v>415</v>
      </c>
      <c r="D8" s="7" t="s">
        <v>416</v>
      </c>
    </row>
    <row r="9" spans="1:4" ht="26.4" x14ac:dyDescent="0.3">
      <c r="A9" s="7" t="s">
        <v>417</v>
      </c>
      <c r="B9" s="7" t="s">
        <v>418</v>
      </c>
      <c r="C9" s="7" t="s">
        <v>419</v>
      </c>
      <c r="D9" s="7" t="s">
        <v>420</v>
      </c>
    </row>
    <row r="10" spans="1:4" x14ac:dyDescent="0.3">
      <c r="A10" s="7" t="s">
        <v>421</v>
      </c>
      <c r="B10" s="7" t="s">
        <v>422</v>
      </c>
      <c r="C10" s="7" t="s">
        <v>423</v>
      </c>
      <c r="D10" s="7" t="s">
        <v>424</v>
      </c>
    </row>
    <row r="11" spans="1:4" x14ac:dyDescent="0.3">
      <c r="A11" s="7" t="s">
        <v>425</v>
      </c>
      <c r="B11" s="7" t="s">
        <v>426</v>
      </c>
      <c r="C11" s="7" t="s">
        <v>427</v>
      </c>
      <c r="D11" s="7" t="s">
        <v>428</v>
      </c>
    </row>
    <row r="13" spans="1:4" x14ac:dyDescent="0.3">
      <c r="A13" s="15" t="s">
        <v>429</v>
      </c>
    </row>
    <row r="14" spans="1:4" x14ac:dyDescent="0.3">
      <c r="A14" s="6" t="s">
        <v>263</v>
      </c>
      <c r="B14" s="6" t="s">
        <v>430</v>
      </c>
      <c r="C14" s="6" t="s">
        <v>37</v>
      </c>
    </row>
    <row r="15" spans="1:4" ht="39.6" x14ac:dyDescent="0.3">
      <c r="A15" s="7" t="s">
        <v>431</v>
      </c>
      <c r="B15" s="7" t="s">
        <v>432</v>
      </c>
      <c r="C15" s="7" t="s">
        <v>433</v>
      </c>
    </row>
    <row r="16" spans="1:4" ht="26.4" x14ac:dyDescent="0.3">
      <c r="A16" s="7" t="s">
        <v>434</v>
      </c>
      <c r="B16" s="7" t="s">
        <v>435</v>
      </c>
      <c r="C16" s="7" t="s">
        <v>436</v>
      </c>
    </row>
    <row r="17" spans="1:3" ht="26.4" x14ac:dyDescent="0.3">
      <c r="A17" s="7" t="s">
        <v>437</v>
      </c>
      <c r="B17" s="7" t="s">
        <v>438</v>
      </c>
      <c r="C17" s="7" t="s">
        <v>439</v>
      </c>
    </row>
    <row r="18" spans="1:3" ht="26.4" x14ac:dyDescent="0.3">
      <c r="A18" s="7" t="s">
        <v>440</v>
      </c>
      <c r="B18" s="7" t="s">
        <v>441</v>
      </c>
      <c r="C18" s="7" t="s">
        <v>442</v>
      </c>
    </row>
    <row r="19" spans="1:3" ht="26.4" x14ac:dyDescent="0.3">
      <c r="A19" s="7" t="s">
        <v>443</v>
      </c>
      <c r="B19" s="7" t="s">
        <v>444</v>
      </c>
      <c r="C19" s="7" t="s">
        <v>445</v>
      </c>
    </row>
    <row r="20" spans="1:3" ht="26.4" x14ac:dyDescent="0.3">
      <c r="A20" s="7" t="s">
        <v>446</v>
      </c>
      <c r="B20" s="7" t="s">
        <v>447</v>
      </c>
      <c r="C20" s="7" t="s">
        <v>448</v>
      </c>
    </row>
    <row r="21" spans="1:3" ht="26.4" x14ac:dyDescent="0.3">
      <c r="A21" s="7" t="s">
        <v>449</v>
      </c>
      <c r="B21" s="7" t="s">
        <v>450</v>
      </c>
      <c r="C21" s="7" t="s">
        <v>451</v>
      </c>
    </row>
    <row r="23" spans="1:3" x14ac:dyDescent="0.3">
      <c r="A23" s="15" t="s">
        <v>452</v>
      </c>
    </row>
    <row r="24" spans="1:3" x14ac:dyDescent="0.3">
      <c r="A24" s="6" t="s">
        <v>263</v>
      </c>
      <c r="B24" s="6" t="s">
        <v>453</v>
      </c>
      <c r="C24" s="6" t="s">
        <v>454</v>
      </c>
    </row>
    <row r="25" spans="1:3" ht="26.4" x14ac:dyDescent="0.3">
      <c r="A25" s="7" t="s">
        <v>431</v>
      </c>
      <c r="B25" s="7" t="s">
        <v>455</v>
      </c>
      <c r="C25" s="7" t="s">
        <v>456</v>
      </c>
    </row>
    <row r="26" spans="1:3" x14ac:dyDescent="0.3">
      <c r="A26" s="7" t="s">
        <v>434</v>
      </c>
      <c r="B26" s="7" t="s">
        <v>457</v>
      </c>
      <c r="C26" s="7" t="s">
        <v>458</v>
      </c>
    </row>
    <row r="27" spans="1:3" x14ac:dyDescent="0.3">
      <c r="A27" s="7" t="s">
        <v>437</v>
      </c>
      <c r="B27" s="7" t="s">
        <v>459</v>
      </c>
      <c r="C27" s="7" t="s">
        <v>460</v>
      </c>
    </row>
    <row r="28" spans="1:3" x14ac:dyDescent="0.3">
      <c r="A28" s="7" t="s">
        <v>440</v>
      </c>
      <c r="B28" s="7" t="s">
        <v>461</v>
      </c>
      <c r="C28" s="7" t="s">
        <v>462</v>
      </c>
    </row>
    <row r="29" spans="1:3" x14ac:dyDescent="0.3">
      <c r="A29" s="7" t="s">
        <v>443</v>
      </c>
      <c r="B29" s="7" t="s">
        <v>463</v>
      </c>
      <c r="C29" s="7" t="s">
        <v>464</v>
      </c>
    </row>
    <row r="30" spans="1:3" x14ac:dyDescent="0.3">
      <c r="A30" s="7" t="s">
        <v>446</v>
      </c>
      <c r="B30" s="7" t="s">
        <v>465</v>
      </c>
      <c r="C30" s="7" t="s">
        <v>466</v>
      </c>
    </row>
    <row r="31" spans="1:3" x14ac:dyDescent="0.3">
      <c r="A31" s="7" t="s">
        <v>449</v>
      </c>
      <c r="B31" s="7" t="s">
        <v>467</v>
      </c>
      <c r="C31" s="7" t="s">
        <v>468</v>
      </c>
    </row>
    <row r="33" spans="1:4" x14ac:dyDescent="0.3">
      <c r="A33" s="34" t="s">
        <v>665</v>
      </c>
      <c r="B33" s="35" t="s">
        <v>666</v>
      </c>
    </row>
    <row r="34" spans="1:4" x14ac:dyDescent="0.3">
      <c r="A34" s="21" t="s">
        <v>469</v>
      </c>
      <c r="B34" s="22">
        <v>200</v>
      </c>
    </row>
    <row r="35" spans="1:4" x14ac:dyDescent="0.3">
      <c r="A35" s="21" t="s">
        <v>470</v>
      </c>
      <c r="B35" s="23">
        <v>0.8</v>
      </c>
    </row>
    <row r="36" spans="1:4" x14ac:dyDescent="0.3">
      <c r="A36" s="21" t="s">
        <v>471</v>
      </c>
      <c r="B36" s="19">
        <f>ROUND(B34*B35,0)</f>
        <v>160</v>
      </c>
    </row>
    <row r="37" spans="1:4" x14ac:dyDescent="0.3">
      <c r="A37" s="21" t="s">
        <v>472</v>
      </c>
      <c r="B37" s="23">
        <v>0.25</v>
      </c>
    </row>
    <row r="38" spans="1:4" x14ac:dyDescent="0.3">
      <c r="A38" s="21" t="s">
        <v>473</v>
      </c>
      <c r="B38" s="19">
        <f>ROUND(B36*B37,0)</f>
        <v>40</v>
      </c>
    </row>
    <row r="39" spans="1:4" x14ac:dyDescent="0.3">
      <c r="A39" s="21" t="s">
        <v>474</v>
      </c>
      <c r="B39" s="23">
        <v>0.5</v>
      </c>
    </row>
    <row r="40" spans="1:4" x14ac:dyDescent="0.3">
      <c r="A40" s="21" t="s">
        <v>475</v>
      </c>
      <c r="B40" s="19">
        <f>ROUND(B38*B39,0)</f>
        <v>20</v>
      </c>
    </row>
    <row r="41" spans="1:4" x14ac:dyDescent="0.3">
      <c r="A41" s="21" t="s">
        <v>476</v>
      </c>
      <c r="B41" s="23">
        <v>0.4</v>
      </c>
    </row>
    <row r="42" spans="1:4" x14ac:dyDescent="0.3">
      <c r="A42" s="21" t="s">
        <v>477</v>
      </c>
      <c r="B42" s="19">
        <f>ROUND(B40*B41,0)</f>
        <v>8</v>
      </c>
    </row>
    <row r="43" spans="1:4" x14ac:dyDescent="0.3">
      <c r="A43" s="21" t="s">
        <v>478</v>
      </c>
      <c r="B43" s="24">
        <f>IF(B42=0,0,ROUND(B34/B42,1))</f>
        <v>25</v>
      </c>
    </row>
    <row r="45" spans="1:4" x14ac:dyDescent="0.3">
      <c r="A45" s="15" t="s">
        <v>479</v>
      </c>
    </row>
    <row r="46" spans="1:4" ht="33.6" customHeight="1" x14ac:dyDescent="0.3">
      <c r="A46" s="1" t="s">
        <v>664</v>
      </c>
      <c r="B46" s="1"/>
      <c r="C46" s="1"/>
      <c r="D46" s="1"/>
    </row>
    <row r="48" spans="1:4" x14ac:dyDescent="0.3">
      <c r="A48" s="20"/>
    </row>
  </sheetData>
  <mergeCells count="1">
    <mergeCell ref="A46:D4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7"/>
  <sheetViews>
    <sheetView zoomScaleNormal="100" workbookViewId="0"/>
  </sheetViews>
  <sheetFormatPr defaultColWidth="8.6640625" defaultRowHeight="14.4" x14ac:dyDescent="0.3"/>
  <cols>
    <col min="1" max="1" width="32" customWidth="1"/>
    <col min="2" max="3" width="14" customWidth="1"/>
    <col min="4" max="4" width="20" customWidth="1"/>
  </cols>
  <sheetData>
    <row r="1" spans="1:4" ht="17.399999999999999" x14ac:dyDescent="0.3">
      <c r="A1" s="14" t="s">
        <v>480</v>
      </c>
    </row>
    <row r="3" spans="1:4" x14ac:dyDescent="0.3">
      <c r="A3" s="15" t="s">
        <v>481</v>
      </c>
    </row>
    <row r="4" spans="1:4" ht="26.4" x14ac:dyDescent="0.3">
      <c r="A4" s="6" t="s">
        <v>23</v>
      </c>
      <c r="B4" s="6" t="s">
        <v>482</v>
      </c>
      <c r="C4" s="6" t="s">
        <v>483</v>
      </c>
      <c r="D4" s="6" t="s">
        <v>484</v>
      </c>
    </row>
    <row r="5" spans="1:4" x14ac:dyDescent="0.3">
      <c r="A5" s="7" t="s">
        <v>41</v>
      </c>
      <c r="B5" s="8">
        <f>COUNTIF(Companies!$D$2:$D$45,A5)</f>
        <v>8</v>
      </c>
      <c r="C5" s="12">
        <f>IFERROR(AVERAGEIF(Companies!$D$2:$D$45,A5,Companies!$P$2:$P$45),0)</f>
        <v>3.29</v>
      </c>
      <c r="D5" s="25">
        <f>IFERROR(AVERAGEIF(Companies!$D$2:$D$45,A5,Companies!$I$2:$I$45),0)</f>
        <v>1.75</v>
      </c>
    </row>
    <row r="6" spans="1:4" x14ac:dyDescent="0.3">
      <c r="A6" s="7" t="s">
        <v>83</v>
      </c>
      <c r="B6" s="8">
        <f>COUNTIF(Companies!$D$2:$D$45,A6)</f>
        <v>13</v>
      </c>
      <c r="C6" s="12">
        <f>IFERROR(AVERAGEIF(Companies!$D$2:$D$45,A6,Companies!$P$2:$P$45),0)</f>
        <v>2.8815384615384616</v>
      </c>
      <c r="D6" s="25">
        <f>IFERROR(AVERAGEIF(Companies!$D$2:$D$45,A6,Companies!$I$2:$I$45),0)</f>
        <v>2.6923076923076925</v>
      </c>
    </row>
    <row r="7" spans="1:4" x14ac:dyDescent="0.3">
      <c r="A7" s="7" t="s">
        <v>154</v>
      </c>
      <c r="B7" s="8">
        <f>COUNTIF(Companies!$D$2:$D$45,A7)</f>
        <v>4</v>
      </c>
      <c r="C7" s="12">
        <f>IFERROR(AVERAGEIF(Companies!$D$2:$D$45,A7,Companies!$P$2:$P$45),0)</f>
        <v>3.1599999999999997</v>
      </c>
      <c r="D7" s="25">
        <f>IFERROR(AVERAGEIF(Companies!$D$2:$D$45,A7,Companies!$I$2:$I$45),0)</f>
        <v>3.5</v>
      </c>
    </row>
    <row r="8" spans="1:4" x14ac:dyDescent="0.3">
      <c r="A8" s="7" t="s">
        <v>129</v>
      </c>
      <c r="B8" s="8">
        <f>COUNTIF(Companies!$D$2:$D$45,A8)</f>
        <v>5</v>
      </c>
      <c r="C8" s="12">
        <f>IFERROR(AVERAGEIF(Companies!$D$2:$D$45,A8,Companies!$P$2:$P$45),0)</f>
        <v>2.96</v>
      </c>
      <c r="D8" s="25">
        <f>IFERROR(AVERAGEIF(Companies!$D$2:$D$45,A8,Companies!$I$2:$I$45),0)</f>
        <v>4</v>
      </c>
    </row>
    <row r="9" spans="1:4" x14ac:dyDescent="0.3">
      <c r="A9" s="7" t="s">
        <v>211</v>
      </c>
      <c r="B9" s="8">
        <f>COUNTIF(Companies!$D$2:$D$45,A9)</f>
        <v>9</v>
      </c>
      <c r="C9" s="12">
        <f>IFERROR(AVERAGEIF(Companies!$D$2:$D$45,A9,Companies!$P$2:$P$45),0)</f>
        <v>3.7355555555555551</v>
      </c>
      <c r="D9" s="25">
        <f>IFERROR(AVERAGEIF(Companies!$D$2:$D$45,A9,Companies!$I$2:$I$45),0)</f>
        <v>3</v>
      </c>
    </row>
    <row r="10" spans="1:4" x14ac:dyDescent="0.3">
      <c r="A10" s="7" t="s">
        <v>196</v>
      </c>
      <c r="B10" s="8">
        <f>COUNTIF(Companies!$D$2:$D$45,A10)</f>
        <v>4</v>
      </c>
      <c r="C10" s="12">
        <f>IFERROR(AVERAGEIF(Companies!$D$2:$D$45,A10,Companies!$P$2:$P$45),0)</f>
        <v>3.2925</v>
      </c>
      <c r="D10" s="25">
        <f>IFERROR(AVERAGEIF(Companies!$D$2:$D$45,A10,Companies!$I$2:$I$45),0)</f>
        <v>3.75</v>
      </c>
    </row>
    <row r="11" spans="1:4" x14ac:dyDescent="0.3">
      <c r="A11" s="7" t="s">
        <v>257</v>
      </c>
      <c r="B11" s="8">
        <f>COUNTIF(Companies!$D$2:$D$45,A11)</f>
        <v>1</v>
      </c>
      <c r="C11" s="12">
        <f>IFERROR(AVERAGEIF(Companies!$D$2:$D$45,A11,Companies!$P$2:$P$45),0)</f>
        <v>3.05</v>
      </c>
      <c r="D11" s="25">
        <f>IFERROR(AVERAGEIF(Companies!$D$2:$D$45,A11,Companies!$I$2:$I$45),0)</f>
        <v>1</v>
      </c>
    </row>
    <row r="12" spans="1:4" x14ac:dyDescent="0.3">
      <c r="A12" s="26" t="s">
        <v>485</v>
      </c>
      <c r="B12" s="19">
        <f>SUM(B5:B11)</f>
        <v>44</v>
      </c>
      <c r="C12" s="19"/>
      <c r="D12" s="19"/>
    </row>
    <row r="14" spans="1:4" x14ac:dyDescent="0.3">
      <c r="A14" s="15" t="s">
        <v>486</v>
      </c>
    </row>
    <row r="15" spans="1:4" x14ac:dyDescent="0.3">
      <c r="A15" s="6" t="s">
        <v>487</v>
      </c>
      <c r="B15" s="6" t="s">
        <v>482</v>
      </c>
      <c r="C15" s="6" t="s">
        <v>488</v>
      </c>
    </row>
    <row r="16" spans="1:4" x14ac:dyDescent="0.3">
      <c r="A16" s="7" t="s">
        <v>59</v>
      </c>
      <c r="B16" s="8">
        <f>COUNTIF(Companies!$F$2:$F$45,A16)</f>
        <v>20</v>
      </c>
      <c r="C16" s="27">
        <f>B16/COUNTA(Companies!$B$2:$B$45)</f>
        <v>0.45454545454545453</v>
      </c>
    </row>
    <row r="17" spans="1:3" x14ac:dyDescent="0.3">
      <c r="A17" s="7" t="s">
        <v>43</v>
      </c>
      <c r="B17" s="8">
        <f>COUNTIF(Companies!$F$2:$F$45,A17)</f>
        <v>5</v>
      </c>
      <c r="C17" s="27">
        <f>B17/COUNTA(Companies!$B$2:$B$45)</f>
        <v>0.11363636363636363</v>
      </c>
    </row>
    <row r="18" spans="1:3" x14ac:dyDescent="0.3">
      <c r="A18" s="7" t="s">
        <v>97</v>
      </c>
      <c r="B18" s="8">
        <f>COUNTIF(Companies!$F$2:$F$45,A18)</f>
        <v>7</v>
      </c>
      <c r="C18" s="27">
        <f>B18/COUNTA(Companies!$B$2:$B$45)</f>
        <v>0.15909090909090909</v>
      </c>
    </row>
    <row r="19" spans="1:3" x14ac:dyDescent="0.3">
      <c r="A19" s="7" t="s">
        <v>76</v>
      </c>
      <c r="B19" s="8">
        <f>COUNTIF(Companies!$F$2:$F$45,A19)</f>
        <v>4</v>
      </c>
      <c r="C19" s="27">
        <f>B19/COUNTA(Companies!$B$2:$B$45)</f>
        <v>9.0909090909090912E-2</v>
      </c>
    </row>
    <row r="20" spans="1:3" x14ac:dyDescent="0.3">
      <c r="A20" s="7" t="s">
        <v>141</v>
      </c>
      <c r="B20" s="8">
        <f>COUNTIF(Companies!$F$2:$F$45,A20)</f>
        <v>6</v>
      </c>
      <c r="C20" s="27">
        <f>B20/COUNTA(Companies!$B$2:$B$45)</f>
        <v>0.13636363636363635</v>
      </c>
    </row>
    <row r="21" spans="1:3" x14ac:dyDescent="0.3">
      <c r="A21" s="7" t="s">
        <v>70</v>
      </c>
      <c r="B21" s="8">
        <f>COUNTIF(Companies!$F$2:$F$45,A21)</f>
        <v>2</v>
      </c>
      <c r="C21" s="27">
        <f>B21/COUNTA(Companies!$B$2:$B$45)</f>
        <v>4.5454545454545456E-2</v>
      </c>
    </row>
    <row r="23" spans="1:3" x14ac:dyDescent="0.3">
      <c r="A23" s="15" t="s">
        <v>489</v>
      </c>
    </row>
    <row r="24" spans="1:3" x14ac:dyDescent="0.3">
      <c r="A24" s="6" t="s">
        <v>26</v>
      </c>
      <c r="B24" s="6" t="s">
        <v>482</v>
      </c>
      <c r="C24" s="6" t="s">
        <v>488</v>
      </c>
    </row>
    <row r="25" spans="1:3" x14ac:dyDescent="0.3">
      <c r="A25" s="7" t="s">
        <v>44</v>
      </c>
      <c r="B25" s="8">
        <f>COUNTIF(Companies!$G$2:$G$45,A25)</f>
        <v>20</v>
      </c>
      <c r="C25" s="27">
        <f>B25/COUNTA(Companies!$B$2:$B$45)</f>
        <v>0.45454545454545453</v>
      </c>
    </row>
    <row r="26" spans="1:3" x14ac:dyDescent="0.3">
      <c r="A26" s="7" t="s">
        <v>98</v>
      </c>
      <c r="B26" s="8">
        <f>COUNTIF(Companies!$G$2:$G$45,A26)</f>
        <v>18</v>
      </c>
      <c r="C26" s="27">
        <f>B26/COUNTA(Companies!$B$2:$B$45)</f>
        <v>0.40909090909090912</v>
      </c>
    </row>
    <row r="27" spans="1:3" x14ac:dyDescent="0.3">
      <c r="A27" s="7" t="s">
        <v>131</v>
      </c>
      <c r="B27" s="8">
        <f>COUNTIF(Companies!$G$2:$G$45,A27)</f>
        <v>6</v>
      </c>
      <c r="C27" s="27">
        <f>B27/COUNTA(Companies!$B$2:$B$45)</f>
        <v>0.13636363636363635</v>
      </c>
    </row>
    <row r="29" spans="1:3" x14ac:dyDescent="0.3">
      <c r="A29" s="15" t="s">
        <v>490</v>
      </c>
    </row>
    <row r="30" spans="1:3" x14ac:dyDescent="0.3">
      <c r="A30" s="6" t="s">
        <v>263</v>
      </c>
      <c r="B30" s="6" t="s">
        <v>482</v>
      </c>
      <c r="C30" s="6" t="s">
        <v>488</v>
      </c>
    </row>
    <row r="31" spans="1:3" x14ac:dyDescent="0.3">
      <c r="A31" s="7" t="str">
        <f>'Roles &amp; Skills'!B4</f>
        <v>GenAI / LLM Engineer</v>
      </c>
      <c r="B31" s="8">
        <f>COUNTIF(Companies!$H$2:$H$45,"*R1*")</f>
        <v>38</v>
      </c>
      <c r="C31" s="27">
        <f>B31/COUNTA(Companies!$B$2:$B$45)</f>
        <v>0.86363636363636365</v>
      </c>
    </row>
    <row r="32" spans="1:3" x14ac:dyDescent="0.3">
      <c r="A32" s="7" t="str">
        <f>'Roles &amp; Skills'!B5</f>
        <v>ML Engineer / MLOps</v>
      </c>
      <c r="B32" s="8">
        <f>COUNTIF(Companies!$H$2:$H$45,"*R2*")</f>
        <v>39</v>
      </c>
      <c r="C32" s="27">
        <f>B32/COUNTA(Companies!$B$2:$B$45)</f>
        <v>0.88636363636363635</v>
      </c>
    </row>
    <row r="33" spans="1:3" x14ac:dyDescent="0.3">
      <c r="A33" s="7" t="str">
        <f>'Roles &amp; Skills'!B6</f>
        <v>Data Scientist</v>
      </c>
      <c r="B33" s="8">
        <f>COUNTIF(Companies!$H$2:$H$45,"*R3*")</f>
        <v>25</v>
      </c>
      <c r="C33" s="27">
        <f>B33/COUNTA(Companies!$B$2:$B$45)</f>
        <v>0.56818181818181823</v>
      </c>
    </row>
    <row r="34" spans="1:3" x14ac:dyDescent="0.3">
      <c r="A34" s="7" t="str">
        <f>'Roles &amp; Skills'!B7</f>
        <v>Data Engineer</v>
      </c>
      <c r="B34" s="8">
        <f>COUNTIF(Companies!$H$2:$H$45,"*R4*")</f>
        <v>27</v>
      </c>
      <c r="C34" s="27">
        <f>B34/COUNTA(Companies!$B$2:$B$45)</f>
        <v>0.61363636363636365</v>
      </c>
    </row>
    <row r="35" spans="1:3" x14ac:dyDescent="0.3">
      <c r="A35" s="7" t="str">
        <f>'Roles &amp; Skills'!B8</f>
        <v>ServiceNow Developer</v>
      </c>
      <c r="B35" s="8">
        <f>COUNTIF(Companies!$H$2:$H$45,"*R5*")</f>
        <v>10</v>
      </c>
      <c r="C35" s="27">
        <f>B35/COUNTA(Companies!$B$2:$B$45)</f>
        <v>0.22727272727272727</v>
      </c>
    </row>
    <row r="36" spans="1:3" x14ac:dyDescent="0.3">
      <c r="A36" s="7" t="str">
        <f>'Roles &amp; Skills'!B9</f>
        <v>AI Product Manager</v>
      </c>
      <c r="B36" s="8">
        <f>COUNTIF(Companies!$H$2:$H$45,"*R6*")</f>
        <v>24</v>
      </c>
      <c r="C36" s="27">
        <f>B36/COUNTA(Companies!$B$2:$B$45)</f>
        <v>0.54545454545454541</v>
      </c>
    </row>
    <row r="37" spans="1:3" x14ac:dyDescent="0.3">
      <c r="A37" s="7" t="str">
        <f>'Roles &amp; Skills'!B10</f>
        <v>Solutions Consultant / Pre-sales</v>
      </c>
      <c r="B37" s="8">
        <f>COUNTIF(Companies!$H$2:$H$45,"*R7*")</f>
        <v>23</v>
      </c>
      <c r="C37" s="27">
        <f>B37/COUNTA(Companies!$B$2:$B$45)</f>
        <v>0.52272727272727271</v>
      </c>
    </row>
  </sheetData>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4"/>
  <sheetViews>
    <sheetView zoomScaleNormal="100" workbookViewId="0"/>
  </sheetViews>
  <sheetFormatPr defaultColWidth="8.6640625" defaultRowHeight="14.4" x14ac:dyDescent="0.3"/>
  <cols>
    <col min="1" max="1" width="7" customWidth="1"/>
    <col min="2" max="3" width="22" customWidth="1"/>
    <col min="4" max="4" width="13" customWidth="1"/>
    <col min="5" max="5" width="11" customWidth="1"/>
    <col min="6" max="6" width="10" customWidth="1"/>
    <col min="7" max="7" width="22" customWidth="1"/>
    <col min="8" max="8" width="70" customWidth="1"/>
    <col min="9" max="9" width="14" customWidth="1"/>
  </cols>
  <sheetData>
    <row r="1" spans="1:9" ht="17.399999999999999" x14ac:dyDescent="0.3">
      <c r="A1" s="14" t="s">
        <v>491</v>
      </c>
    </row>
    <row r="2" spans="1:9" x14ac:dyDescent="0.3">
      <c r="A2" s="20" t="s">
        <v>492</v>
      </c>
    </row>
    <row r="4" spans="1:9" ht="26.4" x14ac:dyDescent="0.3">
      <c r="A4" s="6" t="s">
        <v>493</v>
      </c>
      <c r="B4" s="6" t="s">
        <v>21</v>
      </c>
      <c r="C4" s="6" t="s">
        <v>23</v>
      </c>
      <c r="D4" s="6" t="s">
        <v>494</v>
      </c>
      <c r="E4" s="6" t="s">
        <v>26</v>
      </c>
      <c r="F4" s="6" t="s">
        <v>495</v>
      </c>
      <c r="G4" s="6" t="s">
        <v>496</v>
      </c>
      <c r="H4" s="6" t="s">
        <v>497</v>
      </c>
      <c r="I4" s="6" t="s">
        <v>498</v>
      </c>
    </row>
    <row r="5" spans="1:9" ht="26.4" x14ac:dyDescent="0.3">
      <c r="A5" s="8">
        <v>1</v>
      </c>
      <c r="B5" s="7" t="str">
        <f>INDEX(Companies!$B$2:$B$45,$I5)</f>
        <v>Deloitte</v>
      </c>
      <c r="C5" s="7" t="str">
        <f>INDEX(Companies!$D$2:$D$45,$I5)</f>
        <v>IT services</v>
      </c>
      <c r="D5" s="8" t="str">
        <f>INDEX(Companies!$F$2:$F$45,$I5)</f>
        <v>Hyderabad</v>
      </c>
      <c r="E5" s="8" t="str">
        <f>INDEX(Companies!$G$2:$G$45,$I5)</f>
        <v>Large</v>
      </c>
      <c r="F5" s="12">
        <f>INDEX(Companies!$P$2:$P$45,$I5)</f>
        <v>4.05</v>
      </c>
      <c r="G5" s="7" t="str">
        <f>INDEX(Companies!$H$2:$H$45,$I5)</f>
        <v>R1,R3,R5,R6,R7</v>
      </c>
      <c r="H5" s="7" t="str">
        <f>IFERROR(INDEX(Assumptions!$B$21:$B$27,MATCH(C5,Assumptions!$A$21:$A$27,0)),"")</f>
        <v>High volume, ServiceNow and data skills in constant demand. Pitch pipeline building and bench-to-billable matching.</v>
      </c>
      <c r="I5" s="8">
        <f>MATCH(LARGE(Companies!$Q$2:$Q$45,A5),Companies!$Q$2:$Q$45,0)</f>
        <v>35</v>
      </c>
    </row>
    <row r="6" spans="1:9" ht="26.4" x14ac:dyDescent="0.3">
      <c r="A6" s="8">
        <v>2</v>
      </c>
      <c r="B6" s="7" t="str">
        <f>INDEX(Companies!$B$2:$B$45,$I6)</f>
        <v>Accenture</v>
      </c>
      <c r="C6" s="7" t="str">
        <f>INDEX(Companies!$D$2:$D$45,$I6)</f>
        <v>IT services</v>
      </c>
      <c r="D6" s="8" t="str">
        <f>INDEX(Companies!$F$2:$F$45,$I6)</f>
        <v>Bengaluru</v>
      </c>
      <c r="E6" s="8" t="str">
        <f>INDEX(Companies!$G$2:$G$45,$I6)</f>
        <v>Large</v>
      </c>
      <c r="F6" s="12">
        <f>INDEX(Companies!$P$2:$P$45,$I6)</f>
        <v>4.03</v>
      </c>
      <c r="G6" s="7" t="str">
        <f>INDEX(Companies!$H$2:$H$45,$I6)</f>
        <v>R1,R2,R3,R4,R5,R7</v>
      </c>
      <c r="H6" s="7" t="str">
        <f>IFERROR(INDEX(Assumptions!$B$21:$B$27,MATCH(C6,Assumptions!$A$21:$A$27,0)),"")</f>
        <v>High volume, ServiceNow and data skills in constant demand. Pitch pipeline building and bench-to-billable matching.</v>
      </c>
      <c r="I6" s="8">
        <f>MATCH(LARGE(Companies!$Q$2:$Q$45,A6),Companies!$Q$2:$Q$45,0)</f>
        <v>36</v>
      </c>
    </row>
    <row r="7" spans="1:9" ht="26.4" x14ac:dyDescent="0.3">
      <c r="A7" s="8">
        <v>3</v>
      </c>
      <c r="B7" s="7" t="str">
        <f>INDEX(Companies!$B$2:$B$45,$I7)</f>
        <v>Cognizant</v>
      </c>
      <c r="C7" s="7" t="str">
        <f>INDEX(Companies!$D$2:$D$45,$I7)</f>
        <v>IT services</v>
      </c>
      <c r="D7" s="8" t="str">
        <f>INDEX(Companies!$F$2:$F$45,$I7)</f>
        <v>Chennai</v>
      </c>
      <c r="E7" s="8" t="str">
        <f>INDEX(Companies!$G$2:$G$45,$I7)</f>
        <v>Large</v>
      </c>
      <c r="F7" s="12">
        <f>INDEX(Companies!$P$2:$P$45,$I7)</f>
        <v>3.85</v>
      </c>
      <c r="G7" s="7" t="str">
        <f>INDEX(Companies!$H$2:$H$45,$I7)</f>
        <v>R1,R3,R4,R5,R7</v>
      </c>
      <c r="H7" s="7" t="str">
        <f>IFERROR(INDEX(Assumptions!$B$21:$B$27,MATCH(C7,Assumptions!$A$21:$A$27,0)),"")</f>
        <v>High volume, ServiceNow and data skills in constant demand. Pitch pipeline building and bench-to-billable matching.</v>
      </c>
      <c r="I7" s="8">
        <f>MATCH(LARGE(Companies!$Q$2:$Q$45,A7),Companies!$Q$2:$Q$45,0)</f>
        <v>41</v>
      </c>
    </row>
    <row r="8" spans="1:9" ht="26.4" x14ac:dyDescent="0.3">
      <c r="A8" s="8">
        <v>4</v>
      </c>
      <c r="B8" s="7" t="str">
        <f>INDEX(Companies!$B$2:$B$45,$I8)</f>
        <v>TCS</v>
      </c>
      <c r="C8" s="7" t="str">
        <f>INDEX(Companies!$D$2:$D$45,$I8)</f>
        <v>IT services</v>
      </c>
      <c r="D8" s="8" t="str">
        <f>INDEX(Companies!$F$2:$F$45,$I8)</f>
        <v>Mumbai</v>
      </c>
      <c r="E8" s="8" t="str">
        <f>INDEX(Companies!$G$2:$G$45,$I8)</f>
        <v>Large</v>
      </c>
      <c r="F8" s="12">
        <f>INDEX(Companies!$P$2:$P$45,$I8)</f>
        <v>3.83</v>
      </c>
      <c r="G8" s="7" t="str">
        <f>INDEX(Companies!$H$2:$H$45,$I8)</f>
        <v>R1,R2,R3,R4,R5,R7</v>
      </c>
      <c r="H8" s="7" t="str">
        <f>IFERROR(INDEX(Assumptions!$B$21:$B$27,MATCH(C8,Assumptions!$A$21:$A$27,0)),"")</f>
        <v>High volume, ServiceNow and data skills in constant demand. Pitch pipeline building and bench-to-billable matching.</v>
      </c>
      <c r="I8" s="8">
        <f>MATCH(LARGE(Companies!$Q$2:$Q$45,A8),Companies!$Q$2:$Q$45,0)</f>
        <v>37</v>
      </c>
    </row>
    <row r="9" spans="1:9" ht="26.4" x14ac:dyDescent="0.3">
      <c r="A9" s="8">
        <v>5</v>
      </c>
      <c r="B9" s="7" t="str">
        <f>INDEX(Companies!$B$2:$B$45,$I9)</f>
        <v>Infosys</v>
      </c>
      <c r="C9" s="7" t="str">
        <f>INDEX(Companies!$D$2:$D$45,$I9)</f>
        <v>IT services</v>
      </c>
      <c r="D9" s="8" t="str">
        <f>INDEX(Companies!$F$2:$F$45,$I9)</f>
        <v>Bengaluru</v>
      </c>
      <c r="E9" s="8" t="str">
        <f>INDEX(Companies!$G$2:$G$45,$I9)</f>
        <v>Large</v>
      </c>
      <c r="F9" s="12">
        <f>INDEX(Companies!$P$2:$P$45,$I9)</f>
        <v>3.83</v>
      </c>
      <c r="G9" s="7" t="str">
        <f>INDEX(Companies!$H$2:$H$45,$I9)</f>
        <v>R1,R2,R3,R4,R5,R7</v>
      </c>
      <c r="H9" s="7" t="str">
        <f>IFERROR(INDEX(Assumptions!$B$21:$B$27,MATCH(C9,Assumptions!$A$21:$A$27,0)),"")</f>
        <v>High volume, ServiceNow and data skills in constant demand. Pitch pipeline building and bench-to-billable matching.</v>
      </c>
      <c r="I9" s="8">
        <f>MATCH(LARGE(Companies!$Q$2:$Q$45,A9),Companies!$Q$2:$Q$45,0)</f>
        <v>38</v>
      </c>
    </row>
    <row r="10" spans="1:9" ht="26.4" x14ac:dyDescent="0.3">
      <c r="A10" s="8">
        <v>6</v>
      </c>
      <c r="B10" s="7" t="str">
        <f>INDEX(Companies!$B$2:$B$45,$I10)</f>
        <v>ServiceNow</v>
      </c>
      <c r="C10" s="7" t="str">
        <f>INDEX(Companies!$D$2:$D$45,$I10)</f>
        <v>Platform vendor</v>
      </c>
      <c r="D10" s="8" t="str">
        <f>INDEX(Companies!$F$2:$F$45,$I10)</f>
        <v>Hyderabad</v>
      </c>
      <c r="E10" s="8" t="str">
        <f>INDEX(Companies!$G$2:$G$45,$I10)</f>
        <v>Large</v>
      </c>
      <c r="F10" s="12">
        <f>INDEX(Companies!$P$2:$P$45,$I10)</f>
        <v>3.75</v>
      </c>
      <c r="G10" s="7" t="str">
        <f>INDEX(Companies!$H$2:$H$45,$I10)</f>
        <v>R1,R2,R5,R6,R7</v>
      </c>
      <c r="H10" s="7" t="str">
        <f>IFERROR(INDEX(Assumptions!$B$21:$B$27,MATCH(C10,Assumptions!$A$21:$A$27,0)),"")</f>
        <v>Low agency use, so pitch niche or hard-to-find talent pools (e.g. ServiceNow + GenAI hybrids), speed on specialist roles.</v>
      </c>
      <c r="I10" s="8">
        <f>MATCH(LARGE(Companies!$Q$2:$Q$45,A10),Companies!$Q$2:$Q$45,0)</f>
        <v>1</v>
      </c>
    </row>
    <row r="11" spans="1:9" ht="26.4" x14ac:dyDescent="0.3">
      <c r="A11" s="8">
        <v>7</v>
      </c>
      <c r="B11" s="7" t="str">
        <f>INDEX(Companies!$B$2:$B$45,$I11)</f>
        <v>Wipro</v>
      </c>
      <c r="C11" s="7" t="str">
        <f>INDEX(Companies!$D$2:$D$45,$I11)</f>
        <v>IT services</v>
      </c>
      <c r="D11" s="8" t="str">
        <f>INDEX(Companies!$F$2:$F$45,$I11)</f>
        <v>Bengaluru</v>
      </c>
      <c r="E11" s="8" t="str">
        <f>INDEX(Companies!$G$2:$G$45,$I11)</f>
        <v>Large</v>
      </c>
      <c r="F11" s="12">
        <f>INDEX(Companies!$P$2:$P$45,$I11)</f>
        <v>3.65</v>
      </c>
      <c r="G11" s="7" t="str">
        <f>INDEX(Companies!$H$2:$H$45,$I11)</f>
        <v>R1,R2,R4,R5,R7</v>
      </c>
      <c r="H11" s="7" t="str">
        <f>IFERROR(INDEX(Assumptions!$B$21:$B$27,MATCH(C11,Assumptions!$A$21:$A$27,0)),"")</f>
        <v>High volume, ServiceNow and data skills in constant demand. Pitch pipeline building and bench-to-billable matching.</v>
      </c>
      <c r="I11" s="8">
        <f>MATCH(LARGE(Companies!$Q$2:$Q$45,A11),Companies!$Q$2:$Q$45,0)</f>
        <v>39</v>
      </c>
    </row>
    <row r="12" spans="1:9" ht="26.4" x14ac:dyDescent="0.3">
      <c r="A12" s="8">
        <v>8</v>
      </c>
      <c r="B12" s="7" t="str">
        <f>INDEX(Companies!$B$2:$B$45,$I12)</f>
        <v>Capgemini</v>
      </c>
      <c r="C12" s="7" t="str">
        <f>INDEX(Companies!$D$2:$D$45,$I12)</f>
        <v>IT services</v>
      </c>
      <c r="D12" s="8" t="str">
        <f>INDEX(Companies!$F$2:$F$45,$I12)</f>
        <v>Mumbai</v>
      </c>
      <c r="E12" s="8" t="str">
        <f>INDEX(Companies!$G$2:$G$45,$I12)</f>
        <v>Large</v>
      </c>
      <c r="F12" s="12">
        <f>INDEX(Companies!$P$2:$P$45,$I12)</f>
        <v>3.65</v>
      </c>
      <c r="G12" s="7" t="str">
        <f>INDEX(Companies!$H$2:$H$45,$I12)</f>
        <v>R1,R2,R4,R5,R7</v>
      </c>
      <c r="H12" s="7" t="str">
        <f>IFERROR(INDEX(Assumptions!$B$21:$B$27,MATCH(C12,Assumptions!$A$21:$A$27,0)),"")</f>
        <v>High volume, ServiceNow and data skills in constant demand. Pitch pipeline building and bench-to-billable matching.</v>
      </c>
      <c r="I12" s="8">
        <f>MATCH(LARGE(Companies!$Q$2:$Q$45,A12),Companies!$Q$2:$Q$45,0)</f>
        <v>42</v>
      </c>
    </row>
    <row r="13" spans="1:9" ht="26.4" x14ac:dyDescent="0.3">
      <c r="A13" s="8">
        <v>9</v>
      </c>
      <c r="B13" s="7" t="str">
        <f>INDEX(Companies!$B$2:$B$45,$I13)</f>
        <v>Salesforce</v>
      </c>
      <c r="C13" s="7" t="str">
        <f>INDEX(Companies!$D$2:$D$45,$I13)</f>
        <v>Platform vendor</v>
      </c>
      <c r="D13" s="8" t="str">
        <f>INDEX(Companies!$F$2:$F$45,$I13)</f>
        <v>Hyderabad</v>
      </c>
      <c r="E13" s="8" t="str">
        <f>INDEX(Companies!$G$2:$G$45,$I13)</f>
        <v>Large</v>
      </c>
      <c r="F13" s="12">
        <f>INDEX(Companies!$P$2:$P$45,$I13)</f>
        <v>3.55</v>
      </c>
      <c r="G13" s="7" t="str">
        <f>INDEX(Companies!$H$2:$H$45,$I13)</f>
        <v>R1,R2,R3,R6,R7</v>
      </c>
      <c r="H13" s="7" t="str">
        <f>IFERROR(INDEX(Assumptions!$B$21:$B$27,MATCH(C13,Assumptions!$A$21:$A$27,0)),"")</f>
        <v>Low agency use, so pitch niche or hard-to-find talent pools (e.g. ServiceNow + GenAI hybrids), speed on specialist roles.</v>
      </c>
      <c r="I13" s="8">
        <f>MATCH(LARGE(Companies!$Q$2:$Q$45,A13),Companies!$Q$2:$Q$45,0)</f>
        <v>2</v>
      </c>
    </row>
    <row r="14" spans="1:9" x14ac:dyDescent="0.3">
      <c r="A14" s="8">
        <v>10</v>
      </c>
      <c r="B14" s="7" t="str">
        <f>INDEX(Companies!$B$2:$B$45,$I14)</f>
        <v>Fractal Analytics</v>
      </c>
      <c r="C14" s="7" t="str">
        <f>INDEX(Companies!$D$2:$D$45,$I14)</f>
        <v>Analytics &amp; AI services</v>
      </c>
      <c r="D14" s="8" t="str">
        <f>INDEX(Companies!$F$2:$F$45,$I14)</f>
        <v>Mumbai</v>
      </c>
      <c r="E14" s="8" t="str">
        <f>INDEX(Companies!$G$2:$G$45,$I14)</f>
        <v>Mid</v>
      </c>
      <c r="F14" s="12">
        <f>INDEX(Companies!$P$2:$P$45,$I14)</f>
        <v>3.53</v>
      </c>
      <c r="G14" s="7" t="str">
        <f>INDEX(Companies!$H$2:$H$45,$I14)</f>
        <v>R1,R2,R3,R4,R6,R7</v>
      </c>
      <c r="H14" s="7" t="str">
        <f>IFERROR(INDEX(Assumptions!$B$21:$B$27,MATCH(C14,Assumptions!$A$21:$A$27,0)),"")</f>
        <v>Project-driven hiring spikes. Pitch flexible capacity and pre-vetted data / ML pools.</v>
      </c>
      <c r="I14" s="8">
        <f>MATCH(LARGE(Companies!$Q$2:$Q$45,A14),Companies!$Q$2:$Q$45,0)</f>
        <v>31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7"/>
  <sheetViews>
    <sheetView zoomScaleNormal="100" workbookViewId="0"/>
  </sheetViews>
  <sheetFormatPr defaultColWidth="8.6640625" defaultRowHeight="14.4" x14ac:dyDescent="0.3"/>
  <cols>
    <col min="1" max="1" width="48" customWidth="1"/>
    <col min="2" max="2" width="110" customWidth="1"/>
  </cols>
  <sheetData>
    <row r="1" spans="1:2" ht="17.399999999999999" x14ac:dyDescent="0.3">
      <c r="A1" s="14" t="s">
        <v>499</v>
      </c>
    </row>
    <row r="3" spans="1:2" x14ac:dyDescent="0.3">
      <c r="A3" s="15" t="s">
        <v>500</v>
      </c>
    </row>
    <row r="4" spans="1:2" x14ac:dyDescent="0.3">
      <c r="A4" s="20" t="s">
        <v>501</v>
      </c>
      <c r="B4" s="28">
        <v>0.25</v>
      </c>
    </row>
    <row r="5" spans="1:2" x14ac:dyDescent="0.3">
      <c r="A5" s="20" t="s">
        <v>502</v>
      </c>
      <c r="B5" s="28">
        <v>0.25</v>
      </c>
    </row>
    <row r="6" spans="1:2" x14ac:dyDescent="0.3">
      <c r="A6" s="20" t="s">
        <v>503</v>
      </c>
      <c r="B6" s="28">
        <v>0.3</v>
      </c>
    </row>
    <row r="7" spans="1:2" x14ac:dyDescent="0.3">
      <c r="A7" s="20" t="s">
        <v>504</v>
      </c>
      <c r="B7" s="28">
        <v>0.2</v>
      </c>
    </row>
    <row r="8" spans="1:2" x14ac:dyDescent="0.3">
      <c r="A8" s="15" t="s">
        <v>505</v>
      </c>
      <c r="B8" s="29">
        <f>SUM(B4:B7)</f>
        <v>1</v>
      </c>
    </row>
    <row r="9" spans="1:2" x14ac:dyDescent="0.3">
      <c r="A9" s="20" t="s">
        <v>506</v>
      </c>
      <c r="B9" s="30">
        <v>3</v>
      </c>
    </row>
    <row r="10" spans="1:2" x14ac:dyDescent="0.3">
      <c r="A10" s="20" t="s">
        <v>507</v>
      </c>
      <c r="B10" s="28">
        <v>0.75</v>
      </c>
    </row>
    <row r="12" spans="1:2" x14ac:dyDescent="0.3">
      <c r="A12" s="15" t="s">
        <v>508</v>
      </c>
    </row>
    <row r="13" spans="1:2" x14ac:dyDescent="0.3">
      <c r="A13" s="20" t="s">
        <v>44</v>
      </c>
      <c r="B13" s="30">
        <v>5</v>
      </c>
    </row>
    <row r="14" spans="1:2" x14ac:dyDescent="0.3">
      <c r="A14" s="20" t="s">
        <v>98</v>
      </c>
      <c r="B14" s="30">
        <v>3</v>
      </c>
    </row>
    <row r="15" spans="1:2" x14ac:dyDescent="0.3">
      <c r="A15" s="20" t="s">
        <v>131</v>
      </c>
      <c r="B15" s="30">
        <v>2</v>
      </c>
    </row>
    <row r="17" spans="1:2" x14ac:dyDescent="0.3">
      <c r="A17" s="20" t="s">
        <v>509</v>
      </c>
    </row>
    <row r="19" spans="1:2" x14ac:dyDescent="0.3">
      <c r="A19" s="15" t="s">
        <v>510</v>
      </c>
    </row>
    <row r="20" spans="1:2" x14ac:dyDescent="0.3">
      <c r="A20" s="6" t="s">
        <v>511</v>
      </c>
      <c r="B20" s="6" t="s">
        <v>497</v>
      </c>
    </row>
    <row r="21" spans="1:2" x14ac:dyDescent="0.3">
      <c r="A21" s="20" t="s">
        <v>41</v>
      </c>
      <c r="B21" s="4" t="s">
        <v>512</v>
      </c>
    </row>
    <row r="22" spans="1:2" x14ac:dyDescent="0.3">
      <c r="A22" s="20" t="s">
        <v>83</v>
      </c>
      <c r="B22" s="4" t="s">
        <v>513</v>
      </c>
    </row>
    <row r="23" spans="1:2" x14ac:dyDescent="0.3">
      <c r="A23" s="20" t="s">
        <v>154</v>
      </c>
      <c r="B23" s="4" t="s">
        <v>514</v>
      </c>
    </row>
    <row r="24" spans="1:2" x14ac:dyDescent="0.3">
      <c r="A24" s="20" t="s">
        <v>129</v>
      </c>
      <c r="B24" s="4" t="s">
        <v>515</v>
      </c>
    </row>
    <row r="25" spans="1:2" x14ac:dyDescent="0.3">
      <c r="A25" s="20" t="s">
        <v>211</v>
      </c>
      <c r="B25" s="4" t="s">
        <v>516</v>
      </c>
    </row>
    <row r="26" spans="1:2" x14ac:dyDescent="0.3">
      <c r="A26" s="20" t="s">
        <v>196</v>
      </c>
      <c r="B26" s="4" t="s">
        <v>517</v>
      </c>
    </row>
    <row r="27" spans="1:2" x14ac:dyDescent="0.3">
      <c r="A27" s="20" t="s">
        <v>257</v>
      </c>
      <c r="B27" s="4" t="s">
        <v>518</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0"/>
  <sheetViews>
    <sheetView zoomScaleNormal="100" workbookViewId="0"/>
  </sheetViews>
  <sheetFormatPr defaultColWidth="8.6640625" defaultRowHeight="14.4" x14ac:dyDescent="0.3"/>
  <cols>
    <col min="1" max="1" width="135" customWidth="1"/>
  </cols>
  <sheetData>
    <row r="1" spans="1:1" ht="17.399999999999999" x14ac:dyDescent="0.3">
      <c r="A1" s="3" t="s">
        <v>519</v>
      </c>
    </row>
    <row r="2" spans="1:1" x14ac:dyDescent="0.3">
      <c r="A2" s="5" t="s">
        <v>520</v>
      </c>
    </row>
    <row r="3" spans="1:1" ht="30" customHeight="1" x14ac:dyDescent="0.3">
      <c r="A3" s="4" t="str">
        <f>"This report maps "&amp;COUNTA(Companies!$B$2:$B$45)&amp;" employers across "&amp;COUNTA(Insights!$A$5:$A$11)&amp;" company types, compares 7 job roles over 21 skills, and ranks potential client companies using a transparent weighted score. Company attributes are desk-research estimates; live hiring signals are to be added from careers pages and LinkedIn."</f>
        <v>This report maps 44 employers across 7 company types, compares 7 job roles over 21 skills, and ranks potential client companies using a transparent weighted score. Company attributes are desk-research estimates; live hiring signals are to be added from careers pages and LinkedIn.</v>
      </c>
    </row>
    <row r="4" spans="1:1" x14ac:dyDescent="0.3">
      <c r="A4" s="5" t="s">
        <v>521</v>
      </c>
    </row>
    <row r="5" spans="1:1" ht="30" customHeight="1" x14ac:dyDescent="0.3">
      <c r="A5" s="4" t="str">
        <f>"Most common role across the database: "&amp;INDEX(Insights!$A$31:$A$37,MATCH(MAX(Insights!$B$31:$B$37),Insights!$B$31:$B$37,0))&amp;" ("&amp;MAX(Insights!$B$31:$B$37)&amp;" of "&amp;COUNTA(Companies!$B$2:$B$45)&amp;" companies likely hiring it)."</f>
        <v>Most common role across the database: ML Engineer / MLOps (39 of 44 companies likely hiring it).</v>
      </c>
    </row>
    <row r="6" spans="1:1" ht="30" customHeight="1" x14ac:dyDescent="0.3">
      <c r="A6" s="4" t="str">
        <f>"Largest hub: "&amp;INDEX(Insights!$A$16:$A$21,MATCH(MAX(Insights!$B$16:$B$21),Insights!$B$16:$B$21,0))&amp;" with "&amp;MAX(Insights!$B$16:$B$21)&amp;" companies ("&amp;TEXT(MAX(Insights!$B$16:$B$21)/COUNTA(Companies!$B$2:$B$45),"0%")&amp;" of the database)."</f>
        <v>Largest hub: Bengaluru with 20 companies (45% of the database).</v>
      </c>
    </row>
    <row r="7" spans="1:1" ht="30" customHeight="1" x14ac:dyDescent="0.3">
      <c r="A7" s="4" t="str">
        <f>"Highest-fit prospect right now: "&amp;'Client Prospects'!B5&amp;" (score "&amp;TEXT('Client Prospects'!F5,"0.00")&amp;"), followed by "&amp;'Client Prospects'!B6&amp;" and "&amp;'Client Prospects'!B7&amp;"."</f>
        <v>Highest-fit prospect right now: Deloitte (score 4.05), followed by Accenture and Cognizant.</v>
      </c>
    </row>
    <row r="8" spans="1:1" x14ac:dyDescent="0.3">
      <c r="A8" s="5" t="s">
        <v>522</v>
      </c>
    </row>
    <row r="9" spans="1:1" ht="75" customHeight="1" x14ac:dyDescent="0.3">
      <c r="A9" s="4" t="s">
        <v>523</v>
      </c>
    </row>
    <row r="10" spans="1:1" ht="75" customHeight="1" x14ac:dyDescent="0.3">
      <c r="A10" s="4" t="s">
        <v>524</v>
      </c>
    </row>
    <row r="11" spans="1:1" ht="30" customHeight="1" x14ac:dyDescent="0.3">
      <c r="A11" s="4" t="s">
        <v>525</v>
      </c>
    </row>
    <row r="12" spans="1:1" ht="30" customHeight="1" x14ac:dyDescent="0.3">
      <c r="A12" s="4" t="s">
        <v>526</v>
      </c>
    </row>
    <row r="13" spans="1:1" ht="30" customHeight="1" x14ac:dyDescent="0.3">
      <c r="A13" s="4" t="s">
        <v>527</v>
      </c>
    </row>
    <row r="14" spans="1:1" ht="60" customHeight="1" x14ac:dyDescent="0.3">
      <c r="A14" s="4" t="s">
        <v>528</v>
      </c>
    </row>
    <row r="15" spans="1:1" ht="45" customHeight="1" x14ac:dyDescent="0.3">
      <c r="A15" s="4" t="s">
        <v>529</v>
      </c>
    </row>
    <row r="16" spans="1:1" x14ac:dyDescent="0.3">
      <c r="A16" s="5" t="s">
        <v>530</v>
      </c>
    </row>
    <row r="17" spans="1:1" ht="60" customHeight="1" x14ac:dyDescent="0.3">
      <c r="A17" s="4" t="s">
        <v>531</v>
      </c>
    </row>
    <row r="18" spans="1:1" ht="30" customHeight="1" x14ac:dyDescent="0.3">
      <c r="A18" s="4" t="s">
        <v>532</v>
      </c>
    </row>
    <row r="19" spans="1:1" x14ac:dyDescent="0.3">
      <c r="A19" s="5" t="s">
        <v>533</v>
      </c>
    </row>
    <row r="20" spans="1:1" ht="30" customHeight="1" x14ac:dyDescent="0.3">
      <c r="A20" s="4" t="str">
        <f>"Hiring signal is filled for "&amp;COUNT(Companies!$J$2:$J$45)&amp;" of "&amp;COUNTA(Companies!$B$2:$B$45)&amp;" companies, using news and job-listing evidence (see Sources). Fill the rest from live careers pages, re-rank, and re-validate the skills matrix against five live job descriptions per role. Treat the ranking as a working hypothesis, not a finding."</f>
        <v>Hiring signal is filled for 19 of 44 companies, using news and job-listing evidence (see Sources). Fill the rest from live careers pages, re-rank, and re-validate the skills matrix against five live job descriptions per role. Treat the ranking as a working hypothesis, not a finding.</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1"/>
  <sheetViews>
    <sheetView zoomScaleNormal="100" workbookViewId="0"/>
  </sheetViews>
  <sheetFormatPr defaultColWidth="8.6640625" defaultRowHeight="14.4" x14ac:dyDescent="0.3"/>
  <cols>
    <col min="1" max="1" width="7" customWidth="1"/>
    <col min="2" max="2" width="52" customWidth="1"/>
    <col min="3" max="3" width="40" customWidth="1"/>
    <col min="4" max="4" width="34" customWidth="1"/>
    <col min="5" max="5" width="110" customWidth="1"/>
  </cols>
  <sheetData>
    <row r="1" spans="1:5" ht="17.399999999999999" x14ac:dyDescent="0.3">
      <c r="A1" s="14" t="s">
        <v>534</v>
      </c>
    </row>
    <row r="3" spans="1:5" x14ac:dyDescent="0.3">
      <c r="A3" s="6" t="s">
        <v>20</v>
      </c>
      <c r="B3" s="6" t="s">
        <v>535</v>
      </c>
      <c r="C3" s="6" t="s">
        <v>536</v>
      </c>
      <c r="D3" s="6" t="s">
        <v>537</v>
      </c>
      <c r="E3" s="6" t="s">
        <v>538</v>
      </c>
    </row>
    <row r="4" spans="1:5" x14ac:dyDescent="0.3">
      <c r="A4" s="7" t="s">
        <v>539</v>
      </c>
      <c r="B4" s="7" t="s">
        <v>540</v>
      </c>
      <c r="C4" s="7" t="s">
        <v>541</v>
      </c>
      <c r="D4" s="7" t="s">
        <v>542</v>
      </c>
      <c r="E4" s="7" t="s">
        <v>543</v>
      </c>
    </row>
    <row r="5" spans="1:5" x14ac:dyDescent="0.3">
      <c r="A5" s="7" t="s">
        <v>544</v>
      </c>
      <c r="B5" s="7" t="s">
        <v>545</v>
      </c>
      <c r="C5" s="7" t="s">
        <v>546</v>
      </c>
      <c r="D5" s="7" t="s">
        <v>547</v>
      </c>
      <c r="E5" s="7" t="s">
        <v>548</v>
      </c>
    </row>
    <row r="6" spans="1:5" ht="26.4" x14ac:dyDescent="0.3">
      <c r="A6" s="7" t="s">
        <v>549</v>
      </c>
      <c r="B6" s="7" t="s">
        <v>550</v>
      </c>
      <c r="C6" s="7" t="s">
        <v>551</v>
      </c>
      <c r="D6" s="7" t="s">
        <v>547</v>
      </c>
      <c r="E6" s="7" t="s">
        <v>552</v>
      </c>
    </row>
    <row r="7" spans="1:5" x14ac:dyDescent="0.3">
      <c r="A7" s="7" t="s">
        <v>553</v>
      </c>
      <c r="B7" s="7" t="s">
        <v>554</v>
      </c>
      <c r="C7" s="7" t="s">
        <v>555</v>
      </c>
      <c r="D7" s="7" t="s">
        <v>547</v>
      </c>
      <c r="E7" s="7" t="s">
        <v>556</v>
      </c>
    </row>
    <row r="8" spans="1:5" ht="26.4" x14ac:dyDescent="0.3">
      <c r="A8" s="7" t="s">
        <v>557</v>
      </c>
      <c r="B8" s="7" t="s">
        <v>558</v>
      </c>
      <c r="C8" s="7" t="s">
        <v>559</v>
      </c>
      <c r="D8" s="7" t="s">
        <v>560</v>
      </c>
      <c r="E8" s="7" t="s">
        <v>561</v>
      </c>
    </row>
    <row r="9" spans="1:5" x14ac:dyDescent="0.3">
      <c r="A9" s="7" t="s">
        <v>562</v>
      </c>
      <c r="B9" s="7" t="s">
        <v>563</v>
      </c>
      <c r="C9" s="7" t="s">
        <v>564</v>
      </c>
      <c r="D9" s="7" t="s">
        <v>565</v>
      </c>
      <c r="E9" s="7" t="s">
        <v>566</v>
      </c>
    </row>
    <row r="10" spans="1:5" ht="26.4" x14ac:dyDescent="0.3">
      <c r="A10" s="7" t="s">
        <v>567</v>
      </c>
      <c r="B10" s="7" t="s">
        <v>568</v>
      </c>
      <c r="C10" s="7" t="s">
        <v>569</v>
      </c>
      <c r="D10" s="7" t="s">
        <v>565</v>
      </c>
      <c r="E10" s="7" t="s">
        <v>570</v>
      </c>
    </row>
    <row r="11" spans="1:5" x14ac:dyDescent="0.3">
      <c r="A11" s="7" t="s">
        <v>571</v>
      </c>
      <c r="B11" s="7" t="s">
        <v>572</v>
      </c>
      <c r="C11" s="7" t="s">
        <v>573</v>
      </c>
      <c r="D11" s="7" t="s">
        <v>574</v>
      </c>
      <c r="E11" s="7" t="s">
        <v>575</v>
      </c>
    </row>
    <row r="12" spans="1:5" x14ac:dyDescent="0.3">
      <c r="A12" s="7" t="s">
        <v>576</v>
      </c>
      <c r="B12" s="7" t="s">
        <v>577</v>
      </c>
      <c r="C12" s="7" t="s">
        <v>578</v>
      </c>
      <c r="D12" s="7" t="s">
        <v>579</v>
      </c>
      <c r="E12" s="7" t="s">
        <v>580</v>
      </c>
    </row>
    <row r="13" spans="1:5" ht="26.4" x14ac:dyDescent="0.3">
      <c r="A13" s="7" t="s">
        <v>581</v>
      </c>
      <c r="B13" s="7" t="s">
        <v>582</v>
      </c>
      <c r="C13" s="7" t="s">
        <v>583</v>
      </c>
      <c r="D13" s="7" t="s">
        <v>584</v>
      </c>
      <c r="E13" s="7" t="s">
        <v>585</v>
      </c>
    </row>
    <row r="14" spans="1:5" x14ac:dyDescent="0.3">
      <c r="A14" s="7" t="s">
        <v>586</v>
      </c>
      <c r="B14" s="7" t="s">
        <v>587</v>
      </c>
      <c r="C14" s="7" t="s">
        <v>588</v>
      </c>
      <c r="D14" s="7" t="s">
        <v>589</v>
      </c>
      <c r="E14" s="7" t="s">
        <v>590</v>
      </c>
    </row>
    <row r="15" spans="1:5" ht="26.4" x14ac:dyDescent="0.3">
      <c r="A15" s="7" t="s">
        <v>591</v>
      </c>
      <c r="B15" s="7" t="s">
        <v>592</v>
      </c>
      <c r="C15" s="7" t="s">
        <v>593</v>
      </c>
      <c r="D15" s="7" t="s">
        <v>594</v>
      </c>
      <c r="E15" s="7" t="s">
        <v>595</v>
      </c>
    </row>
    <row r="16" spans="1:5" ht="26.4" x14ac:dyDescent="0.3">
      <c r="A16" s="7" t="s">
        <v>596</v>
      </c>
      <c r="B16" s="7" t="s">
        <v>597</v>
      </c>
      <c r="C16" s="7" t="s">
        <v>598</v>
      </c>
      <c r="D16" s="7" t="s">
        <v>599</v>
      </c>
      <c r="E16" s="7" t="s">
        <v>46</v>
      </c>
    </row>
    <row r="17" spans="1:5" x14ac:dyDescent="0.3">
      <c r="A17" s="7" t="s">
        <v>600</v>
      </c>
      <c r="B17" s="7" t="s">
        <v>601</v>
      </c>
      <c r="C17" s="7" t="s">
        <v>602</v>
      </c>
      <c r="D17" s="7" t="s">
        <v>603</v>
      </c>
      <c r="E17" s="7" t="s">
        <v>181</v>
      </c>
    </row>
    <row r="18" spans="1:5" ht="26.4" x14ac:dyDescent="0.3">
      <c r="A18" s="7" t="s">
        <v>604</v>
      </c>
      <c r="B18" s="7" t="s">
        <v>605</v>
      </c>
      <c r="C18" s="7" t="s">
        <v>606</v>
      </c>
      <c r="D18" s="7" t="s">
        <v>607</v>
      </c>
      <c r="E18" s="7" t="s">
        <v>99</v>
      </c>
    </row>
    <row r="19" spans="1:5" x14ac:dyDescent="0.3">
      <c r="A19" s="7" t="s">
        <v>608</v>
      </c>
      <c r="B19" s="7" t="s">
        <v>609</v>
      </c>
      <c r="C19" s="7" t="s">
        <v>610</v>
      </c>
      <c r="D19" s="7" t="s">
        <v>611</v>
      </c>
      <c r="E19" s="7" t="s">
        <v>612</v>
      </c>
    </row>
    <row r="20" spans="1:5" ht="26.4" x14ac:dyDescent="0.3">
      <c r="A20" s="7" t="s">
        <v>613</v>
      </c>
      <c r="B20" s="7" t="s">
        <v>614</v>
      </c>
      <c r="C20" s="7" t="s">
        <v>615</v>
      </c>
      <c r="D20" s="7" t="s">
        <v>616</v>
      </c>
      <c r="E20" s="7" t="s">
        <v>617</v>
      </c>
    </row>
    <row r="21" spans="1:5" x14ac:dyDescent="0.3">
      <c r="A21" s="7" t="s">
        <v>618</v>
      </c>
      <c r="B21" s="7" t="s">
        <v>619</v>
      </c>
      <c r="C21" s="7" t="s">
        <v>620</v>
      </c>
      <c r="D21" s="7" t="s">
        <v>621</v>
      </c>
      <c r="E21" s="7" t="s">
        <v>622</v>
      </c>
    </row>
    <row r="22" spans="1:5" ht="26.4" x14ac:dyDescent="0.3">
      <c r="A22" s="7" t="s">
        <v>623</v>
      </c>
      <c r="B22" s="7" t="s">
        <v>624</v>
      </c>
      <c r="C22" s="7" t="s">
        <v>625</v>
      </c>
      <c r="D22" s="7" t="s">
        <v>603</v>
      </c>
      <c r="E22" s="7" t="s">
        <v>626</v>
      </c>
    </row>
    <row r="23" spans="1:5" ht="26.4" x14ac:dyDescent="0.3">
      <c r="A23" s="7" t="s">
        <v>627</v>
      </c>
      <c r="B23" s="7" t="s">
        <v>628</v>
      </c>
      <c r="C23" s="7" t="s">
        <v>629</v>
      </c>
      <c r="D23" s="7" t="s">
        <v>630</v>
      </c>
      <c r="E23" s="7" t="s">
        <v>631</v>
      </c>
    </row>
    <row r="24" spans="1:5" x14ac:dyDescent="0.3">
      <c r="A24" s="7" t="s">
        <v>632</v>
      </c>
      <c r="B24" s="7" t="s">
        <v>633</v>
      </c>
      <c r="C24" s="7" t="s">
        <v>634</v>
      </c>
      <c r="D24" s="7" t="s">
        <v>635</v>
      </c>
      <c r="E24" s="7" t="s">
        <v>636</v>
      </c>
    </row>
    <row r="25" spans="1:5" ht="26.4" x14ac:dyDescent="0.3">
      <c r="A25" s="7" t="s">
        <v>637</v>
      </c>
      <c r="B25" s="7" t="s">
        <v>638</v>
      </c>
      <c r="C25" s="7" t="s">
        <v>639</v>
      </c>
      <c r="D25" s="7" t="s">
        <v>640</v>
      </c>
      <c r="E25" s="7" t="s">
        <v>641</v>
      </c>
    </row>
    <row r="26" spans="1:5" ht="26.4" x14ac:dyDescent="0.3">
      <c r="A26" s="7" t="s">
        <v>642</v>
      </c>
      <c r="B26" s="7" t="s">
        <v>643</v>
      </c>
      <c r="C26" s="7" t="s">
        <v>644</v>
      </c>
      <c r="D26" s="7" t="s">
        <v>603</v>
      </c>
      <c r="E26" s="7" t="s">
        <v>78</v>
      </c>
    </row>
    <row r="27" spans="1:5" ht="26.4" x14ac:dyDescent="0.3">
      <c r="A27" s="7" t="s">
        <v>645</v>
      </c>
      <c r="B27" s="7" t="s">
        <v>646</v>
      </c>
      <c r="C27" s="7" t="s">
        <v>647</v>
      </c>
      <c r="D27" s="7" t="s">
        <v>648</v>
      </c>
      <c r="E27" s="7" t="s">
        <v>649</v>
      </c>
    </row>
    <row r="28" spans="1:5" x14ac:dyDescent="0.3">
      <c r="A28" s="7" t="s">
        <v>650</v>
      </c>
      <c r="B28" s="7" t="s">
        <v>651</v>
      </c>
      <c r="C28" s="7" t="s">
        <v>652</v>
      </c>
      <c r="D28" s="7" t="s">
        <v>565</v>
      </c>
      <c r="E28" s="7" t="s">
        <v>653</v>
      </c>
    </row>
    <row r="29" spans="1:5" x14ac:dyDescent="0.3">
      <c r="A29" s="7" t="s">
        <v>654</v>
      </c>
      <c r="B29" s="7" t="s">
        <v>655</v>
      </c>
      <c r="C29" s="7" t="s">
        <v>656</v>
      </c>
      <c r="D29" s="7" t="s">
        <v>657</v>
      </c>
      <c r="E29" s="7" t="s">
        <v>658</v>
      </c>
    </row>
    <row r="31" spans="1:5" x14ac:dyDescent="0.3">
      <c r="A31" s="20" t="s">
        <v>659</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7"/>
  <sheetViews>
    <sheetView zoomScaleNormal="100" workbookViewId="0"/>
  </sheetViews>
  <sheetFormatPr defaultColWidth="8.6640625" defaultRowHeight="14.4" x14ac:dyDescent="0.3"/>
  <cols>
    <col min="1" max="1" width="150" customWidth="1"/>
  </cols>
  <sheetData>
    <row r="1" spans="1:1" ht="17.399999999999999" x14ac:dyDescent="0.3">
      <c r="A1" s="14" t="s">
        <v>660</v>
      </c>
    </row>
    <row r="3" spans="1:1" ht="43.5" customHeight="1" x14ac:dyDescent="0.3">
      <c r="A3" s="4" t="str">
        <f>"Conducted structured research across "&amp;COUNTA(Companies!$B$2:$B$45)&amp;" companies in the Enterprise AI / GenAI &amp; SaaS sector (India) to map hiring activity, common job roles and in-demand skills, and verified live hiring signals for "&amp;COUNT(Companies!$J$2:$J$45)&amp;" of them using careers pages, applicant-tracking boards and news sources."</f>
        <v>Conducted structured research across 44 companies in the Enterprise AI / GenAI &amp; SaaS sector (India) to map hiring activity, common job roles and in-demand skills, and verified live hiring signals for 19 of them using careers pages, applicant-tracking boards and news sources.</v>
      </c>
    </row>
    <row r="4" spans="1:1" ht="43.5" customHeight="1" x14ac:dyDescent="0.3">
      <c r="A4" s="4" t="s">
        <v>661</v>
      </c>
    </row>
    <row r="5" spans="1:1" ht="43.5" customHeight="1" x14ac:dyDescent="0.3">
      <c r="A5" s="4" t="s">
        <v>662</v>
      </c>
    </row>
    <row r="7" spans="1:1" ht="43.5" customHeight="1" x14ac:dyDescent="0.3">
      <c r="A7" s="31" t="s">
        <v>663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Companies</vt:lpstr>
      <vt:lpstr>Roles &amp; Skills</vt:lpstr>
      <vt:lpstr>Job Order</vt:lpstr>
      <vt:lpstr>Sourcing Strategy</vt:lpstr>
      <vt:lpstr>Insights</vt:lpstr>
      <vt:lpstr>Client Prospects</vt:lpstr>
      <vt:lpstr>Assumptions</vt:lpstr>
      <vt:lpstr>Market Report</vt:lpstr>
      <vt:lpstr>Sources</vt:lpstr>
      <vt:lpstr>Resume Bullets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Nidhi .</cp:lastModifiedBy>
  <cp:revision>1</cp:revision>
  <dcterms:created xsi:type="dcterms:W3CDTF">2026-10-25T15:03:54Z</dcterms:created>
  <dcterms:modified xsi:type="dcterms:W3CDTF">2026-10-25T16:44:55Z</dcterms:modified>
  <dc:language>en-US</dc:language>
</cp:coreProperties>
</file>